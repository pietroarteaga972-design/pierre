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Matriz de artículos" sheetId="2" state="visible" r:id="rId4"/>
    <sheet name="Resumen de control" sheetId="3" state="visible" r:id="rId5"/>
  </sheets>
  <definedNames>
    <definedName function="false" hidden="true" localSheetId="1" name="_xlnm._FilterDatabase" vbProcedure="false">'Matriz de artículos'!$A$1:$O$53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<sst xmlns="http://schemas.openxmlformats.org/spreadsheetml/2006/main" count="478" uniqueCount="375">
  <si>
    <t xml:space="preserve">Matriz de consolidación de artículos — Revisión de literatura</t>
  </si>
  <si>
    <t xml:space="preserve">Subtema 11: Sostenibilidad, Economía Circular y ESG en la manufactura moderna</t>
  </si>
  <si>
    <t xml:space="preserve">¿Qué es este archivo?</t>
  </si>
  <si>
    <t xml:space="preserve">Es la consolidación en Excel que pide la rúbrica: cada artículo revisado con su aporte. Ya viene cargado con las 36 fuentes usadas en el artículo. Debes completarlo con tu propia búsqueda.</t>
  </si>
  <si>
    <t xml:space="preserve">Cómo usarlo</t>
  </si>
  <si>
    <t xml:space="preserve">1.</t>
  </si>
  <si>
    <t xml:space="preserve">Ve a la hoja 'Matriz de artículos'. Las filas 1 a 36 ya están llenas (sirven de ejemplo del formato).</t>
  </si>
  <si>
    <t xml:space="preserve">2.</t>
  </si>
  <si>
    <t xml:space="preserve">Ejecuta la ecuación de búsqueda en Scopus y Web of Science y agrega tus artículos en las filas vacías (desde la 37).</t>
  </si>
  <si>
    <t xml:space="preserve">3.</t>
  </si>
  <si>
    <t xml:space="preserve">Completa TODAS las columnas: base de datos, eje temático, metodología, hallazgos y, sobre todo, el APORTE de cada uno.</t>
  </si>
  <si>
    <t xml:space="preserve">4.</t>
  </si>
  <si>
    <t xml:space="preserve">Verifica cada referencia en su fuente original (DOI, volumen, páginas) antes de darla por válida.</t>
  </si>
  <si>
    <t xml:space="preserve">5.</t>
  </si>
  <si>
    <t xml:space="preserve">Revisa la hoja 'Resumen de control': calcula sola el total y el % de fuentes de los últimos 5 años.</t>
  </si>
  <si>
    <t xml:space="preserve">Metas de la rúbrica</t>
  </si>
  <si>
    <t xml:space="preserve">•</t>
  </si>
  <si>
    <t xml:space="preserve">Mínimo 50 referencias.</t>
  </si>
  <si>
    <t xml:space="preserve">Al menos 60% publicadas en los últimos cinco años (2021–2026).</t>
  </si>
  <si>
    <t xml:space="preserve">Solo bases reconocidas (Science Direct, ProQuest, Emerald, Scimago, Scopus, Redalyc, SciELO, WoS). NO blogs ni reportes comerciales.</t>
  </si>
  <si>
    <t xml:space="preserve">Nota importante</t>
  </si>
  <si>
    <t xml:space="preserve">La rúbrica menciona un 'modelo compartido' por el curso. Si tu grupo tiene esa plantilla oficial, copia estas columnas a ese archivo para respetar su formato. Esta matriz cubre los campos estándar de una revisión tipo PRISMA.</t>
  </si>
  <si>
    <t xml:space="preserve">N°</t>
  </si>
  <si>
    <t xml:space="preserve">Autor(es)</t>
  </si>
  <si>
    <t xml:space="preserve">Año</t>
  </si>
  <si>
    <t xml:space="preserve">Título</t>
  </si>
  <si>
    <t xml:space="preserve">Tipo de documento</t>
  </si>
  <si>
    <t xml:space="preserve">Base de datos</t>
  </si>
  <si>
    <t xml:space="preserve">Revista / Editorial</t>
  </si>
  <si>
    <t xml:space="preserve">Eje temático</t>
  </si>
  <si>
    <t xml:space="preserve">Objetivo / Enfoque</t>
  </si>
  <si>
    <t xml:space="preserve">Metodología</t>
  </si>
  <si>
    <t xml:space="preserve">Hallazgos principales</t>
  </si>
  <si>
    <t xml:space="preserve">Aporte específico</t>
  </si>
  <si>
    <t xml:space="preserve">¿Últimos 5 años?</t>
  </si>
  <si>
    <t xml:space="preserve">Cita APA 7</t>
  </si>
  <si>
    <t xml:space="preserve">DOI / Enlace</t>
  </si>
  <si>
    <t xml:space="preserve">Adisorn, T., Tholen, L., &amp; Götz, T.</t>
  </si>
  <si>
    <t xml:space="preserve">Towards a digital product passport fit for contributing to a circular economy</t>
  </si>
  <si>
    <t xml:space="preserve">Artículo</t>
  </si>
  <si>
    <t xml:space="preserve">Scopus</t>
  </si>
  <si>
    <t xml:space="preserve">Energies, 14(8), 2289</t>
  </si>
  <si>
    <t xml:space="preserve">3. Pasaporte digital de producto / trazabilidad</t>
  </si>
  <si>
    <t xml:space="preserve">Conceptualizar el pasaporte digital de producto (DPP) como instrumento de información para la economía circular.</t>
  </si>
  <si>
    <t xml:space="preserve">Análisis conceptual y de políticas.</t>
  </si>
  <si>
    <t xml:space="preserve">El valor del DPP depende de qué datos incluye y de cómo se gobiernan, no del documento en sí.</t>
  </si>
  <si>
    <t xml:space="preserve">Define los requisitos de un DPP útil; base conceptual del eje 3.</t>
  </si>
  <si>
    <t xml:space="preserve">Adisorn, T., Tholen, L., &amp; Götz, T. (2021). Towards a digital product passport fit for contributing to a circular economy. Energies, 14(8), 2289. https://doi.org/10.3390/en14082289</t>
  </si>
  <si>
    <t xml:space="preserve">https://doi.org/10.3390/en14082289</t>
  </si>
  <si>
    <t xml:space="preserve">Bai, C., Dallasega, P., Orzes, G., &amp; Sarkis, J.</t>
  </si>
  <si>
    <t xml:space="preserve">Industry 4.0 technologies assessment: A sustainability perspective</t>
  </si>
  <si>
    <t xml:space="preserve">Web of Science</t>
  </si>
  <si>
    <t xml:space="preserve">Int. J. of Production Economics, 229, 107776</t>
  </si>
  <si>
    <t xml:space="preserve">4. Contabilidad de carbono / descarbonización</t>
  </si>
  <si>
    <t xml:space="preserve">Evaluar tecnologías de la Industria 4.0 según su contribución a la sostenibilidad.</t>
  </si>
  <si>
    <t xml:space="preserve">Marco de evaluación multicriterio (hesitant fuzzy sets).</t>
  </si>
  <si>
    <t xml:space="preserve">El impacto sostenible de las tecnologías es desigual y depende del contexto de aplicación.</t>
  </si>
  <si>
    <t xml:space="preserve">Aporta una lectura crítica del vínculo digitalización–sostenibilidad.</t>
  </si>
  <si>
    <t xml:space="preserve">Bai, C., Dallasega, P., Orzes, G., &amp; Sarkis, J. (2020). Industry 4.0 technologies assessment: A sustainability perspective. Int. J. of Production Economics, 229, 107776. https://doi.org/10.1016/j.ijpe.2020.107776</t>
  </si>
  <si>
    <t xml:space="preserve">https://doi.org/10.1016/j.ijpe.2020.107776</t>
  </si>
  <si>
    <t xml:space="preserve">Berg, F., Koelbel, J. F., &amp; Rigobon, R.</t>
  </si>
  <si>
    <t xml:space="preserve">Aggregate confusion: The divergence of ESG ratings</t>
  </si>
  <si>
    <t xml:space="preserve">Review of Finance, 26(6), 1315–1344</t>
  </si>
  <si>
    <t xml:space="preserve">5. Métricas ESG</t>
  </si>
  <si>
    <t xml:space="preserve">Explicar por qué las calificaciones ESG divergen entre agencias.</t>
  </si>
  <si>
    <t xml:space="preserve">Análisis cuantitativo de datos de seis agencias de rating.</t>
  </si>
  <si>
    <t xml:space="preserve">La divergencia proviene de medición, alcance y ponderación; erosiona la comparabilidad.</t>
  </si>
  <si>
    <t xml:space="preserve">Fundamenta el vacío de verificación y el riesgo de greenwashing.</t>
  </si>
  <si>
    <t xml:space="preserve">Berg, F., Koelbel, J. F., &amp; Rigobon, R. (2022). Aggregate confusion: The divergence of ESG ratings. Review of Finance, 26(6), 1315–1344. https://doi.org/10.1093/rof/rfac033</t>
  </si>
  <si>
    <t xml:space="preserve">https://doi.org/10.1093/rof/rfac033</t>
  </si>
  <si>
    <t xml:space="preserve">Bocken, N. M. P., de Pauw, I., Bakker, C., &amp; van der Grinten, B.</t>
  </si>
  <si>
    <t xml:space="preserve">Product design and business model strategies for a circular economy</t>
  </si>
  <si>
    <t xml:space="preserve">J. of Industrial and Production Engineering, 33(5), 308–320</t>
  </si>
  <si>
    <t xml:space="preserve">1. Economía circular</t>
  </si>
  <si>
    <t xml:space="preserve">Proponer estrategias de diseño y modelo de negocio para cerrar y ralentizar ciclos.</t>
  </si>
  <si>
    <t xml:space="preserve">Desarrollo de marco conceptual (estrechar, ralentizar, cerrar ciclos).</t>
  </si>
  <si>
    <t xml:space="preserve">El diseño de producto es palanca clave de la circularidad, no solo el reciclaje.</t>
  </si>
  <si>
    <t xml:space="preserve">Sustenta la idea de circularidad como rediseño, no como gestión de residuos.</t>
  </si>
  <si>
    <t xml:space="preserve">Bocken, N. M. P., de Pauw, I., Bakker, C., &amp; van der Grinten, B. (2016). Product design and business model strategies for a circular economy. J. of Industrial and Production Engineering, 33(5), 308–320. https://doi.org/10.1080/21681015.2016.1172124</t>
  </si>
  <si>
    <t xml:space="preserve">https://doi.org/10.1080/21681015.2016.1172124</t>
  </si>
  <si>
    <t xml:space="preserve">Carter, C. R., &amp; Rogers, D. S.</t>
  </si>
  <si>
    <t xml:space="preserve">A framework of sustainable supply chain management: Moving toward new theory</t>
  </si>
  <si>
    <t xml:space="preserve">Int. J. of Physical Distribution &amp; Logistics Mgmt, 38(5), 360–387</t>
  </si>
  <si>
    <t xml:space="preserve">2. Cadena de suministro verde/sostenible</t>
  </si>
  <si>
    <t xml:space="preserve">Integrar las dimensiones ambiental, social y económica en la cadena de suministro.</t>
  </si>
  <si>
    <t xml:space="preserve">Revisión de literatura y construcción teórica.</t>
  </si>
  <si>
    <t xml:space="preserve">La sostenibilidad en la cadena requiere equilibrar las tres dimensiones (triple bottom line).</t>
  </si>
  <si>
    <t xml:space="preserve">Marco base de la cadena de suministro sostenible (eje 2).</t>
  </si>
  <si>
    <t xml:space="preserve">Carter, C. R., &amp; Rogers, D. S. (2008). A framework of sustainable supply chain management: Moving toward new theory. Int. J. of Physical Distribution &amp; Logistics Mgmt, 38(5), 360–387. https://doi.org/10.1108/09600030810882816</t>
  </si>
  <si>
    <t xml:space="preserve">https://doi.org/10.1108/09600030810882816</t>
  </si>
  <si>
    <t xml:space="preserve">Eccles, R. G., Ioannou, I., &amp; Serafeim, G.</t>
  </si>
  <si>
    <t xml:space="preserve">The impact of corporate sustainability on organizational processes and performance</t>
  </si>
  <si>
    <t xml:space="preserve">Management Science, 60(11), 2835–2857</t>
  </si>
  <si>
    <t xml:space="preserve">Medir el efecto de la sostenibilidad corporativa en procesos y desempeño.</t>
  </si>
  <si>
    <t xml:space="preserve">Estudio empírico longitudinal con muestra emparejada.</t>
  </si>
  <si>
    <t xml:space="preserve">Las empresas de alta sostenibilidad superan a sus pares en desempeño de largo plazo.</t>
  </si>
  <si>
    <t xml:space="preserve">Evidencia del vínculo sostenibilidad–desempeño que motiva la adopción.</t>
  </si>
  <si>
    <t xml:space="preserve">Eccles, R. G., Ioannou, I., &amp; Serafeim, G. (2014). The impact of corporate sustainability on organizational processes and performance. Management Science, 60(11), 2835–2857. https://doi.org/10.1287/mnsc.2014.1984</t>
  </si>
  <si>
    <t xml:space="preserve">https://doi.org/10.1287/mnsc.2014.1984</t>
  </si>
  <si>
    <t xml:space="preserve">Ellen MacArthur Foundation</t>
  </si>
  <si>
    <t xml:space="preserve">Towards the circular economy: Economic and business rationale for an accelerated transition</t>
  </si>
  <si>
    <t xml:space="preserve">Informe</t>
  </si>
  <si>
    <t xml:space="preserve">Otra (institucional)</t>
  </si>
  <si>
    <t xml:space="preserve">Argumentar la lógica económica y empresarial de la economía circular.</t>
  </si>
  <si>
    <t xml:space="preserve">Informe con modelado económico y casos.</t>
  </si>
  <si>
    <t xml:space="preserve">La transición circular genera valor económico además de ambiental.</t>
  </si>
  <si>
    <t xml:space="preserve">Referencia fundacional del marco de economía circular.</t>
  </si>
  <si>
    <t xml:space="preserve">Ellen MacArthur Foundation (2013). Towards the circular economy: Economic and business rationale for an accelerated transition. Ellen MacArthur Foundation. https://www.ellenmacarthurfoundation.org</t>
  </si>
  <si>
    <t xml:space="preserve">https://www.ellenmacarthurfoundation.org</t>
  </si>
  <si>
    <t xml:space="preserve">Friede, G., Busch, T., &amp; Bassen, A.</t>
  </si>
  <si>
    <t xml:space="preserve">ESG and financial performance: Aggregated evidence from more than 2000 empirical studies</t>
  </si>
  <si>
    <t xml:space="preserve">Revisión</t>
  </si>
  <si>
    <t xml:space="preserve">J. of Sustainable Finance &amp; Investment, 5(4), 210–233</t>
  </si>
  <si>
    <t xml:space="preserve">Sintetizar la relación entre desempeño ESG y desempeño financiero.</t>
  </si>
  <si>
    <t xml:space="preserve">Metarrevisión de más de 2.000 estudios empíricos.</t>
  </si>
  <si>
    <t xml:space="preserve">La relación es mayoritariamente positiva o neutra, rara vez negativa.</t>
  </si>
  <si>
    <t xml:space="preserve">Respaldo cuantitativo central del eje ESG.</t>
  </si>
  <si>
    <t xml:space="preserve">Friede, G., Busch, T., &amp; Bassen, A. (2015). ESG and financial performance: Aggregated evidence from more than 2000 empirical studies. J. of Sustainable Finance &amp; Investment, 5(4), 210–233. https://doi.org/10.1080/20430795.2015.1118917</t>
  </si>
  <si>
    <t xml:space="preserve">https://doi.org/10.1080/20430795.2015.1118917</t>
  </si>
  <si>
    <t xml:space="preserve">Geissdoerfer, M., Savaget, P., Bocken, N. M. P., &amp; Hultink, E. J.</t>
  </si>
  <si>
    <t xml:space="preserve">The circular economy – A new sustainability paradigm?</t>
  </si>
  <si>
    <t xml:space="preserve">J. of Cleaner Production, 143, 757–768</t>
  </si>
  <si>
    <t xml:space="preserve">Clarificar la relación entre economía circular y sostenibilidad.</t>
  </si>
  <si>
    <t xml:space="preserve">Revisión sistemática y análisis bibliométrico.</t>
  </si>
  <si>
    <t xml:space="preserve">La circularidad es un medio para la sostenibilidad, no un sinónimo.</t>
  </si>
  <si>
    <t xml:space="preserve">Delimita el marco conceptual base del artículo.</t>
  </si>
  <si>
    <t xml:space="preserve">Geissdoerfer, M., Savaget, P., Bocken, N. M. P., &amp; Hultink, E. J. (2017). The circular economy – A new sustainability paradigm?. J. of Cleaner Production, 143, 757–768. https://doi.org/10.1016/j.jclepro.2016.12.048</t>
  </si>
  <si>
    <t xml:space="preserve">https://doi.org/10.1016/j.jclepro.2016.12.048</t>
  </si>
  <si>
    <t xml:space="preserve">Geng, Y., Sarkis, J., &amp; Bleischwitz, R.</t>
  </si>
  <si>
    <t xml:space="preserve">How to globalize the circular economy</t>
  </si>
  <si>
    <t xml:space="preserve">Nature, 565(7738), 153–155</t>
  </si>
  <si>
    <t xml:space="preserve">Discutir cómo escalar la economía circular a nivel global.</t>
  </si>
  <si>
    <t xml:space="preserve">Comentario analítico con datos de políticas.</t>
  </si>
  <si>
    <t xml:space="preserve">Se necesitan métricas e indicadores comparables para escalar la circularidad.</t>
  </si>
  <si>
    <t xml:space="preserve">Señala la brecha de estandarización de métricas.</t>
  </si>
  <si>
    <t xml:space="preserve">Geng, Y., Sarkis, J., &amp; Bleischwitz, R. (2019). How to globalize the circular economy. Nature, 565(7738), 153–155. https://doi.org/10.1038/d41586-019-00017-z</t>
  </si>
  <si>
    <t xml:space="preserve">https://doi.org/10.1038/d41586-019-00017-z</t>
  </si>
  <si>
    <t xml:space="preserve">Ghobakhloo, M.</t>
  </si>
  <si>
    <t xml:space="preserve">Industry 4.0, digitization, and opportunities for sustainability</t>
  </si>
  <si>
    <t xml:space="preserve">J. of Cleaner Production, 252, 119869</t>
  </si>
  <si>
    <t xml:space="preserve">Identificar cómo la Industria 4.0 habilita funciones de sostenibilidad.</t>
  </si>
  <si>
    <t xml:space="preserve">Revisión de contenido y análisis interpretativo.</t>
  </si>
  <si>
    <t xml:space="preserve">La digitalización ofrece 11 funciones de sostenibilidad, con efectos condicionados.</t>
  </si>
  <si>
    <t xml:space="preserve">Conecta descarbonización y tecnologías digitales.</t>
  </si>
  <si>
    <t xml:space="preserve">Ghobakhloo, M. (2020). Industry 4.0, digitization, and opportunities for sustainability. J. of Cleaner Production, 252, 119869. https://doi.org/10.1016/j.jclepro.2019.119869</t>
  </si>
  <si>
    <t xml:space="preserve">https://doi.org/10.1016/j.jclepro.2019.119869</t>
  </si>
  <si>
    <t xml:space="preserve">Gillan, S. L., Koch, A., &amp; Starks, L. T.</t>
  </si>
  <si>
    <t xml:space="preserve">Firms and social responsibility: A review of ESG and CSR research in corporate finance</t>
  </si>
  <si>
    <t xml:space="preserve">J. of Corporate Finance, 66, 101889</t>
  </si>
  <si>
    <t xml:space="preserve">Revisar la investigación sobre ESG y RSE en finanzas corporativas.</t>
  </si>
  <si>
    <t xml:space="preserve">Revisión de literatura.</t>
  </si>
  <si>
    <t xml:space="preserve">El campo ESG está fragmentado y con problemas de medición y causalidad.</t>
  </si>
  <si>
    <t xml:space="preserve">Mapea el estado del arte del eje ESG.</t>
  </si>
  <si>
    <t xml:space="preserve">Gillan, S. L., Koch, A., &amp; Starks, L. T. (2021). Firms and social responsibility: A review of ESG and CSR research in corporate finance. J. of Corporate Finance, 66, 101889. https://doi.org/10.1016/j.jcorpfin.2021.101889</t>
  </si>
  <si>
    <t xml:space="preserve">https://doi.org/10.1016/j.jcorpfin.2021.101889</t>
  </si>
  <si>
    <t xml:space="preserve">Govindan, K., Soleimani, H., &amp; Kannan, D.</t>
  </si>
  <si>
    <t xml:space="preserve">Reverse logistics and closed-loop supply chain: A comprehensive review to explore the future</t>
  </si>
  <si>
    <t xml:space="preserve">European J. of Operational Research, 240(3), 603–626</t>
  </si>
  <si>
    <t xml:space="preserve">Revisar la logística inversa y los circuitos cerrados de suministro.</t>
  </si>
  <si>
    <t xml:space="preserve">Revisión sistemática de literatura.</t>
  </si>
  <si>
    <t xml:space="preserve">La recuperación de producto conecta el fin de vida con nuevos ciclos productivos.</t>
  </si>
  <si>
    <t xml:space="preserve">Vincula cadena verde y circularidad (logística inversa).</t>
  </si>
  <si>
    <t xml:space="preserve">Govindan, K., Soleimani, H., &amp; Kannan, D. (2015). Reverse logistics and closed-loop supply chain: A comprehensive review to explore the future. European J. of Operational Research, 240(3), 603–626. https://doi.org/10.1016/j.ejor.2014.07.012</t>
  </si>
  <si>
    <t xml:space="preserve">https://doi.org/10.1016/j.ejor.2014.07.012</t>
  </si>
  <si>
    <t xml:space="preserve">Hertwich, E. G., &amp; Wood, R.</t>
  </si>
  <si>
    <t xml:space="preserve">The growing importance of scope 3 greenhouse gas emissions from industry</t>
  </si>
  <si>
    <t xml:space="preserve">Environmental Research Letters, 13(10), 104013</t>
  </si>
  <si>
    <t xml:space="preserve">Cuantificar la importancia de las emisiones de alcance 3 en la industria.</t>
  </si>
  <si>
    <t xml:space="preserve">Análisis cuantitativo de inventarios de emisiones.</t>
  </si>
  <si>
    <t xml:space="preserve">El alcance 3 concentra la mayor parte del impacto; exige mirar toda la cadena.</t>
  </si>
  <si>
    <t xml:space="preserve">Justifica el foco en cadena extendida y datos de carbono.</t>
  </si>
  <si>
    <t xml:space="preserve">Hertwich, E. G., &amp; Wood, R. (2018). The growing importance of scope 3 greenhouse gas emissions from industry. Environmental Research Letters, 13(10), 104013. https://doi.org/10.1088/1748-9326/aae19a</t>
  </si>
  <si>
    <t xml:space="preserve">https://doi.org/10.1088/1748-9326/aae19a</t>
  </si>
  <si>
    <t xml:space="preserve">Ivanov, D.</t>
  </si>
  <si>
    <t xml:space="preserve">The Industry 5.0 framework: Viability-based integration of the resilience, sustainability and human-centricity perspectives</t>
  </si>
  <si>
    <t xml:space="preserve">Int. J. of Production Research, 61(5), 1683–1695</t>
  </si>
  <si>
    <t xml:space="preserve">Transversal (marco Industria 4.0/5.0)</t>
  </si>
  <si>
    <t xml:space="preserve">Integrar resiliencia, sostenibilidad y centralidad humana en la Industria 5.0.</t>
  </si>
  <si>
    <t xml:space="preserve">Desarrollo de marco conceptual (viabilidad).</t>
  </si>
  <si>
    <t xml:space="preserve">La Industria 5.0 articula los tres pilares bajo la noción de viabilidad.</t>
  </si>
  <si>
    <t xml:space="preserve">Conecta la revisión con los pilares de Industria 5.0.</t>
  </si>
  <si>
    <t xml:space="preserve">Ivanov, D. (2023). The Industry 5.0 framework: Viability-based integration of the resilience, sustainability and human-centricity perspectives. Int. J. of Production Research, 61(5), 1683–1695. https://doi.org/10.1080/00207543.2022.2118892</t>
  </si>
  <si>
    <t xml:space="preserve">https://doi.org/10.1080/00207543.2022.2118892</t>
  </si>
  <si>
    <t xml:space="preserve">Kagermann, H., Wahlster, W., &amp; Helbig, J.</t>
  </si>
  <si>
    <t xml:space="preserve">Recommendations for implementing the strategic initiative INDUSTRIE 4.0</t>
  </si>
  <si>
    <t xml:space="preserve">Acatech</t>
  </si>
  <si>
    <t xml:space="preserve">Definir la agenda estratégica de la Industria 4.0.</t>
  </si>
  <si>
    <t xml:space="preserve">Informe de recomendaciones de política industrial.</t>
  </si>
  <si>
    <t xml:space="preserve">Establece los principios fundacionales de la manufactura digital.</t>
  </si>
  <si>
    <t xml:space="preserve">Referencia seminal del marco Industria 4.0.</t>
  </si>
  <si>
    <t xml:space="preserve">Kagermann, H., Wahlster, W., &amp; Helbig, J. (2013). Recommendations for implementing the strategic initiative INDUSTRIE 4.0. Acatech.</t>
  </si>
  <si>
    <t xml:space="preserve">—</t>
  </si>
  <si>
    <t xml:space="preserve">Khan, M., Serafeim, G., &amp; Yoon, A.</t>
  </si>
  <si>
    <t xml:space="preserve">Corporate sustainability: First evidence on materiality</t>
  </si>
  <si>
    <t xml:space="preserve">The Accounting Review, 91(6), 1697–1724</t>
  </si>
  <si>
    <t xml:space="preserve">Probar si la materialidad de los temas ESG afecta el desempeño.</t>
  </si>
  <si>
    <t xml:space="preserve">Estudio empírico con datos de materialidad sectorial.</t>
  </si>
  <si>
    <t xml:space="preserve">Solo los temas ESG materiales para el sector predicen mejor desempeño.</t>
  </si>
  <si>
    <t xml:space="preserve">Clave para elegir métricas ESG relevantes en manufactura.</t>
  </si>
  <si>
    <t xml:space="preserve">Khan, M., Serafeim, G., &amp; Yoon, A. (2016). Corporate sustainability: First evidence on materiality. The Accounting Review, 91(6), 1697–1724. https://doi.org/10.2308/accr-51383</t>
  </si>
  <si>
    <t xml:space="preserve">https://doi.org/10.2308/accr-51383</t>
  </si>
  <si>
    <t xml:space="preserve">Kirchherr, J., Reike, D., &amp; Hekkert, M.</t>
  </si>
  <si>
    <t xml:space="preserve">Conceptualizing the circular economy: An analysis of 114 definitions</t>
  </si>
  <si>
    <t xml:space="preserve">Resources, Conservation and Recycling, 127, 221–232</t>
  </si>
  <si>
    <t xml:space="preserve">Analizar la dispersión conceptual de la economía circular.</t>
  </si>
  <si>
    <t xml:space="preserve">Análisis de contenido de 114 definiciones.</t>
  </si>
  <si>
    <t xml:space="preserve">Existe fuerte ambigüedad conceptual; muchas definiciones omiten lo social.</t>
  </si>
  <si>
    <t xml:space="preserve">Justifica delimitar el concepto en el artículo.</t>
  </si>
  <si>
    <t xml:space="preserve">Kirchherr, J., Reike, D., &amp; Hekkert, M. (2017). Conceptualizing the circular economy: An analysis of 114 definitions. Resources, Conservation and Recycling, 127, 221–232. https://doi.org/10.1016/j.resconrec.2017.09.005</t>
  </si>
  <si>
    <t xml:space="preserve">https://doi.org/10.1016/j.resconrec.2017.09.005</t>
  </si>
  <si>
    <t xml:space="preserve">Korhonen, J., Honkasalo, A., &amp; Seppälä, J.</t>
  </si>
  <si>
    <t xml:space="preserve">Circular economy: The concept and its limitations</t>
  </si>
  <si>
    <t xml:space="preserve">Ecological Economics, 143, 37–46</t>
  </si>
  <si>
    <t xml:space="preserve">Examinar los límites conceptuales y prácticos de la circularidad.</t>
  </si>
  <si>
    <t xml:space="preserve">Análisis crítico-conceptual.</t>
  </si>
  <si>
    <t xml:space="preserve">La circularidad enfrenta límites termodinámicos y de gobernanza.</t>
  </si>
  <si>
    <t xml:space="preserve">Aporta mirada crítica (evita idealizar la economía circular).</t>
  </si>
  <si>
    <t xml:space="preserve">Korhonen, J., Honkasalo, A., &amp; Seppälä, J. (2018). Circular economy: The concept and its limitations. Ecological Economics, 143, 37–46. https://doi.org/10.1016/j.ecolecon.2017.06.041</t>
  </si>
  <si>
    <t xml:space="preserve">https://doi.org/10.1016/j.ecolecon.2017.06.041</t>
  </si>
  <si>
    <t xml:space="preserve">Leng, J., Sha, W., Wang, B., Zheng, P., Zhuang, C., Liu, Q., Wuest, T., Mourtzis, D., &amp; Wang, L.</t>
  </si>
  <si>
    <t xml:space="preserve">Industry 5.0: Prospect and retrospect</t>
  </si>
  <si>
    <t xml:space="preserve">J. of Manufacturing Systems, 65, 279–295</t>
  </si>
  <si>
    <t xml:space="preserve">Revisar el origen y las perspectivas de la Industria 5.0.</t>
  </si>
  <si>
    <t xml:space="preserve">La Industria 5.0 añade propósito (humano y ambiental) a la 4.0.</t>
  </si>
  <si>
    <t xml:space="preserve">Base del marco Industria 5.0 en la discusión.</t>
  </si>
  <si>
    <t xml:space="preserve">Leng, J., Sha, W., Wang, B., Zheng, P., Zhuang, C., Liu, Q., Wuest, T., Mourtzis, D., &amp; Wang, L. (2022). Industry 5.0: Prospect and retrospect. J. of Manufacturing Systems, 65, 279–295. https://doi.org/10.1016/j.jmsy.2022.09.017</t>
  </si>
  <si>
    <t xml:space="preserve">https://doi.org/10.1016/j.jmsy.2022.09.017</t>
  </si>
  <si>
    <t xml:space="preserve">Lieder, M., &amp; Rashid, A.</t>
  </si>
  <si>
    <t xml:space="preserve">Towards circular economy implementation: A comprehensive review in context of manufacturing industry</t>
  </si>
  <si>
    <t xml:space="preserve">J. of Cleaner Production, 115, 36–51</t>
  </si>
  <si>
    <t xml:space="preserve">Revisar la implementación de la economía circular en manufactura.</t>
  </si>
  <si>
    <t xml:space="preserve">La implementación exige alinear lo ambiental, lo de recursos y lo económico.</t>
  </si>
  <si>
    <t xml:space="preserve">Enfoca la circularidad en el contexto industrial.</t>
  </si>
  <si>
    <t xml:space="preserve">Lieder, M., &amp; Rashid, A. (2016). Towards circular economy implementation: A comprehensive review in context of manufacturing industry. J. of Cleaner Production, 115, 36–51. https://doi.org/10.1016/j.jclepro.2015.12.042</t>
  </si>
  <si>
    <t xml:space="preserve">https://doi.org/10.1016/j.jclepro.2015.12.042</t>
  </si>
  <si>
    <t xml:space="preserve">Maddikunta, P. K. R., Pham, Q.-V., Prabadevi, B., Deepa, N., Dev, K., Gadekallu, T. R., Ruby, R., &amp; Liyanage, M.</t>
  </si>
  <si>
    <t xml:space="preserve">Industry 5.0: A survey on enabling technologies and potential applications</t>
  </si>
  <si>
    <t xml:space="preserve">J. of Industrial Information Integration, 26, 100257</t>
  </si>
  <si>
    <t xml:space="preserve">Mapear tecnologías habilitadoras y aplicaciones de la Industria 5.0.</t>
  </si>
  <si>
    <t xml:space="preserve">Survey (revisión amplia).</t>
  </si>
  <si>
    <t xml:space="preserve">Identifica tecnologías clave y aplicaciones centradas en el ser humano.</t>
  </si>
  <si>
    <t xml:space="preserve">Complementa el marco Industria 5.0.</t>
  </si>
  <si>
    <t xml:space="preserve">Maddikunta, P. K. R., Pham, Q.-V., Prabadevi, B., Deepa, N., Dev, K., Gadekallu, T. R., Ruby, R., &amp; Liyanage, M. (2022). Industry 5.0: A survey on enabling technologies and potential applications. J. of Industrial Information Integration, 26, 100257. https://doi.org/10.1016/j.jii.2021.100257</t>
  </si>
  <si>
    <t xml:space="preserve">https://doi.org/10.1016/j.jii.2021.100257</t>
  </si>
  <si>
    <t xml:space="preserve">Moher, D., Liberati, A., Tetzlaff, J., &amp; Altman, D. G.</t>
  </si>
  <si>
    <t xml:space="preserve">Preferred reporting items for systematic reviews and meta-analyses: The PRISMA statement</t>
  </si>
  <si>
    <t xml:space="preserve">PLoS Medicine, 6(7), e1000097</t>
  </si>
  <si>
    <t xml:space="preserve">Método (PRISMA)</t>
  </si>
  <si>
    <t xml:space="preserve">Establecer estándares para reportar revisiones sistemáticas.</t>
  </si>
  <si>
    <t xml:space="preserve">Guía metodológica (declaración PRISMA).</t>
  </si>
  <si>
    <t xml:space="preserve">Define el flujo de identificación, cribado, elegibilidad e inclusión.</t>
  </si>
  <si>
    <t xml:space="preserve">Fundamento del protocolo metodológico del artículo.</t>
  </si>
  <si>
    <t xml:space="preserve">Moher, D., Liberati, A., Tetzlaff, J., &amp; Altman, D. G. (2009). Preferred reporting items for systematic reviews and meta-analyses: The PRISMA statement. PLoS Medicine, 6(7), e1000097. https://doi.org/10.1371/journal.pmed.1000097</t>
  </si>
  <si>
    <t xml:space="preserve">https://doi.org/10.1371/journal.pmed.1000097</t>
  </si>
  <si>
    <t xml:space="preserve">Murray, A., Skene, K., &amp; Haynes, K.</t>
  </si>
  <si>
    <t xml:space="preserve">The circular economy: An interdisciplinary exploration of the concept and application in a global context</t>
  </si>
  <si>
    <t xml:space="preserve">J. of Business Ethics, 140(3), 369–380</t>
  </si>
  <si>
    <t xml:space="preserve">Explorar la economía circular desde una mirada interdisciplinaria.</t>
  </si>
  <si>
    <t xml:space="preserve">Análisis conceptual.</t>
  </si>
  <si>
    <t xml:space="preserve">La circularidad descuida con frecuencia la dimensión social y ética.</t>
  </si>
  <si>
    <t xml:space="preserve">Refuerza la crítica sobre el sesgo ambiental del campo.</t>
  </si>
  <si>
    <t xml:space="preserve">Murray, A., Skene, K., &amp; Haynes, K. (2017). The circular economy: An interdisciplinary exploration of the concept and application in a global context. J. of Business Ethics, 140(3), 369–380. https://doi.org/10.1007/s10551-015-2693-2</t>
  </si>
  <si>
    <t xml:space="preserve">https://doi.org/10.1007/s10551-015-2693-2</t>
  </si>
  <si>
    <t xml:space="preserve">Nahavandi, S.</t>
  </si>
  <si>
    <t xml:space="preserve">Industry 5.0—A human-centric solution</t>
  </si>
  <si>
    <t xml:space="preserve">Sustainability, 11(16), 4371</t>
  </si>
  <si>
    <t xml:space="preserve">Introducir la Industria 5.0 como paradigma centrado en el ser humano.</t>
  </si>
  <si>
    <t xml:space="preserve">Ensayo conceptual.</t>
  </si>
  <si>
    <t xml:space="preserve">La colaboración humano–máquina redefine la manufactura avanzada.</t>
  </si>
  <si>
    <t xml:space="preserve">Sustenta el pilar de centralidad humana.</t>
  </si>
  <si>
    <t xml:space="preserve">Nahavandi, S. (2019). Industry 5.0—A human-centric solution. Sustainability, 11(16), 4371. https://doi.org/10.3390/su11164371</t>
  </si>
  <si>
    <t xml:space="preserve">https://doi.org/10.3390/su11164371</t>
  </si>
  <si>
    <t xml:space="preserve">Nascimento, D. L. M., Alencastro, V., Quelhas, O. L. G., Caiado, R. G. G., Garza-Reyes, J. A., Rocha-Lona, L., &amp; Tortorella, G.</t>
  </si>
  <si>
    <t xml:space="preserve">Exploring Industry 4.0 technologies to enable circular economy practices in a manufacturing context</t>
  </si>
  <si>
    <t xml:space="preserve">J. of Manufacturing Technology Management, 30(3), 607–627</t>
  </si>
  <si>
    <t xml:space="preserve">Analizar cómo las tecnologías I4.0 habilitan prácticas circulares.</t>
  </si>
  <si>
    <t xml:space="preserve">Estudio de caso y propuesta de modelo de negocio.</t>
  </si>
  <si>
    <t xml:space="preserve">La integración de tecnologías digitales habilita manufactura circular.</t>
  </si>
  <si>
    <t xml:space="preserve">Puente entre digitalización, trazabilidad y circularidad.</t>
  </si>
  <si>
    <t xml:space="preserve">Nascimento, D. L. M., Alencastro, V., Quelhas, O. L. G., Caiado, R. G. G., Garza-Reyes, J. A., Rocha-Lona, L., &amp; Tortorella, G. (2019). Exploring Industry 4.0 technologies to enable circular economy practices in a manufacturing context. J. of Manufacturing Technology Management, 30(3), 607–627. https://doi.org/10.1108/JMTM-03-2018-0071</t>
  </si>
  <si>
    <t xml:space="preserve">https://doi.org/10.1108/JMTM-03-2018-0071</t>
  </si>
  <si>
    <t xml:space="preserve">Page, M. J., McKenzie, J. E., Bossuyt, P. M., et al.</t>
  </si>
  <si>
    <t xml:space="preserve">The PRISMA 2020 statement: An updated guideline for reporting systematic reviews</t>
  </si>
  <si>
    <t xml:space="preserve">BMJ, 372, n71</t>
  </si>
  <si>
    <t xml:space="preserve">Actualizar la guía PRISMA para revisiones sistemáticas.</t>
  </si>
  <si>
    <t xml:space="preserve">Guía metodológica (PRISMA 2020).</t>
  </si>
  <si>
    <t xml:space="preserve">Actualiza el diagrama de flujo y los ítems de reporte.</t>
  </si>
  <si>
    <t xml:space="preserve">Protocolo de referencia usado en la metodología.</t>
  </si>
  <si>
    <t xml:space="preserve">Page, M. J., McKenzie, J. E., Bossuyt, P. M., et al. (2021). The PRISMA 2020 statement: An updated guideline for reporting systematic reviews. BMJ, 372, n71. https://doi.org/10.1136/bmj.n71</t>
  </si>
  <si>
    <t xml:space="preserve">https://doi.org/10.1136/bmj.n71</t>
  </si>
  <si>
    <t xml:space="preserve">Rajput, S., &amp; Singh, S. P.</t>
  </si>
  <si>
    <t xml:space="preserve">Connecting circular economy and Industry 4.0</t>
  </si>
  <si>
    <t xml:space="preserve">Int. J. of Information Management, 49, 98–113</t>
  </si>
  <si>
    <t xml:space="preserve">Vincular economía circular e Industria 4.0.</t>
  </si>
  <si>
    <t xml:space="preserve">Modelado y análisis de relaciones.</t>
  </si>
  <si>
    <t xml:space="preserve">Las tecnologías digitales reducen la incertidumbre sobre el estado del producto.</t>
  </si>
  <si>
    <t xml:space="preserve">Apoya el rol de los datos en la circularidad.</t>
  </si>
  <si>
    <t xml:space="preserve">Rajput, S., &amp; Singh, S. P. (2019). Connecting circular economy and Industry 4.0. Int. J. of Information Management, 49, 98–113. https://doi.org/10.1016/j.ijinfomgt.2019.03.002</t>
  </si>
  <si>
    <t xml:space="preserve">https://doi.org/10.1016/j.ijinfomgt.2019.03.002</t>
  </si>
  <si>
    <t xml:space="preserve">Sarkis, J., Zhu, Q., &amp; Lai, K.-H.</t>
  </si>
  <si>
    <t xml:space="preserve">An organizational theoretic review of green supply chain management literature</t>
  </si>
  <si>
    <t xml:space="preserve">Int. J. of Production Economics, 130(1), 1–15</t>
  </si>
  <si>
    <t xml:space="preserve">Revisar la literatura GSCM desde teorías organizacionales.</t>
  </si>
  <si>
    <t xml:space="preserve">Revisión teórica.</t>
  </si>
  <si>
    <t xml:space="preserve">El desempeño verde depende de presiones y capacidades organizacionales.</t>
  </si>
  <si>
    <t xml:space="preserve">Ordena teóricamente el eje de cadena verde.</t>
  </si>
  <si>
    <t xml:space="preserve">Sarkis, J., Zhu, Q., &amp; Lai, K.-H. (2011). An organizational theoretic review of green supply chain management literature. Int. J. of Production Economics, 130(1), 1–15. https://doi.org/10.1016/j.ijpe.2010.11.010</t>
  </si>
  <si>
    <t xml:space="preserve">https://doi.org/10.1016/j.ijpe.2010.11.010</t>
  </si>
  <si>
    <t xml:space="preserve">Seuring, S., &amp; Müller, M.</t>
  </si>
  <si>
    <t xml:space="preserve">From a literature review to a conceptual framework for sustainable supply chain management</t>
  </si>
  <si>
    <t xml:space="preserve">J. of Cleaner Production, 16(15), 1699–1710</t>
  </si>
  <si>
    <t xml:space="preserve">Construir un marco conceptual de cadena de suministro sostenible.</t>
  </si>
  <si>
    <t xml:space="preserve">Revisión de literatura (191 artículos).</t>
  </si>
  <si>
    <t xml:space="preserve">La presión de stakeholders impulsa la gestión sostenible de la cadena.</t>
  </si>
  <si>
    <t xml:space="preserve">Marco fundacional del eje 2.</t>
  </si>
  <si>
    <t xml:space="preserve">Seuring, S., &amp; Müller, M. (2008). From a literature review to a conceptual framework for sustainable supply chain management. J. of Cleaner Production, 16(15), 1699–1710. https://doi.org/10.1016/j.jclepro.2008.04.020</t>
  </si>
  <si>
    <t xml:space="preserve">https://doi.org/10.1016/j.jclepro.2008.04.020</t>
  </si>
  <si>
    <t xml:space="preserve">Srivastava, S. K.</t>
  </si>
  <si>
    <t xml:space="preserve">Green supply-chain management: A state-of-the-art literature review</t>
  </si>
  <si>
    <t xml:space="preserve">Int. J. of Management Reviews, 9(1), 53–80</t>
  </si>
  <si>
    <t xml:space="preserve">Sistematizar el estado del arte de la gestión verde de la cadena.</t>
  </si>
  <si>
    <t xml:space="preserve">Define el alcance de la GSCM (de las compras al fin de vida).</t>
  </si>
  <si>
    <t xml:space="preserve">Referencia seminal del eje de cadena verde.</t>
  </si>
  <si>
    <t xml:space="preserve">Srivastava, S. K. (2007). Green supply-chain management: A state-of-the-art literature review. Int. J. of Management Reviews, 9(1), 53–80. https://doi.org/10.1111/j.1468-2370.2007.00202.x</t>
  </si>
  <si>
    <t xml:space="preserve">https://doi.org/10.1111/j.1468-2370.2007.00202.x</t>
  </si>
  <si>
    <t xml:space="preserve">Stahel, W. R.</t>
  </si>
  <si>
    <t xml:space="preserve">The circular economy</t>
  </si>
  <si>
    <t xml:space="preserve">Nature, 531(7595), 435–438</t>
  </si>
  <si>
    <t xml:space="preserve">Presentar la economía circular y la economía de la funcionalidad.</t>
  </si>
  <si>
    <t xml:space="preserve">Artículo de perspectiva.</t>
  </si>
  <si>
    <t xml:space="preserve">Vender desempeño (no objetos) cambia los incentivos hacia la durabilidad.</t>
  </si>
  <si>
    <t xml:space="preserve">Sustenta la visión transformadora de la circularidad.</t>
  </si>
  <si>
    <t xml:space="preserve">Stahel, W. R. (2016). The circular economy. Nature, 531(7595), 435–438. https://doi.org/10.1038/531435a</t>
  </si>
  <si>
    <t xml:space="preserve">https://doi.org/10.1038/531435a</t>
  </si>
  <si>
    <t xml:space="preserve">Tseng, M.-L., Islam, M. S., Karia, N., Fauzi, F. A., &amp; Afrin, S.</t>
  </si>
  <si>
    <t xml:space="preserve">A literature review on green supply chain management: Trends and future challenges</t>
  </si>
  <si>
    <t xml:space="preserve">Resources, Conservation and Recycling, 141, 145–162</t>
  </si>
  <si>
    <t xml:space="preserve">Revisar tendencias y retos de la gestión verde de la cadena.</t>
  </si>
  <si>
    <t xml:space="preserve">Revisión bibliométrica (880 artículos).</t>
  </si>
  <si>
    <t xml:space="preserve">El campo madura pero persisten retos de medición e integración.</t>
  </si>
  <si>
    <t xml:space="preserve">Actualiza el panorama del eje 2.</t>
  </si>
  <si>
    <t xml:space="preserve">Tseng, M.-L., Islam, M. S., Karia, N., Fauzi, F. A., &amp; Afrin, S. (2019). A literature review on green supply chain management: Trends and future challenges. Resources, Conservation and Recycling, 141, 145–162. https://doi.org/10.1016/j.resconrec.2018.10.009</t>
  </si>
  <si>
    <t xml:space="preserve">https://doi.org/10.1016/j.resconrec.2018.10.009</t>
  </si>
  <si>
    <t xml:space="preserve">World Business Council for Sustainable Development, &amp; World Resources Institute</t>
  </si>
  <si>
    <t xml:space="preserve">The greenhouse gas protocol: A corporate accounting and reporting standard (Rev. ed.)</t>
  </si>
  <si>
    <t xml:space="preserve">WBCSD &amp; WRI</t>
  </si>
  <si>
    <t xml:space="preserve">Estandarizar la contabilidad corporativa de gases de efecto invernadero.</t>
  </si>
  <si>
    <t xml:space="preserve">Estándar metodológico.</t>
  </si>
  <si>
    <t xml:space="preserve">Define los alcances 1, 2 y 3 de emisiones.</t>
  </si>
  <si>
    <t xml:space="preserve">Estándar de referencia para métricas de carbono.</t>
  </si>
  <si>
    <t xml:space="preserve">World Business Council for Sustainable Development, &amp; World Resources Institute (2011). The greenhouse gas protocol: A corporate accounting and reporting standard (Rev. ed.). WBCSD &amp; WRI.</t>
  </si>
  <si>
    <t xml:space="preserve">Xu, X., Lu, Y., Vogel-Heuser, B., &amp; Wang, L.</t>
  </si>
  <si>
    <t xml:space="preserve">Industry 4.0 and Industry 5.0—Inception, conception and perception</t>
  </si>
  <si>
    <t xml:space="preserve">J. of Manufacturing Systems, 61, 530–535</t>
  </si>
  <si>
    <t xml:space="preserve">Diferenciar y conectar Industria 4.0 e Industria 5.0.</t>
  </si>
  <si>
    <t xml:space="preserve">La Industria 5.0 reorienta la 4.0 hacia valores humanos y sostenibles.</t>
  </si>
  <si>
    <t xml:space="preserve">Define los pilares de Industria 5.0 usados en la discusión.</t>
  </si>
  <si>
    <t xml:space="preserve">Xu, X., Lu, Y., Vogel-Heuser, B., &amp; Wang, L. (2021). Industry 4.0 and Industry 5.0—Inception, conception and perception. J. of Manufacturing Systems, 61, 530–535. https://doi.org/10.1016/j.jmsy.2021.10.006</t>
  </si>
  <si>
    <t xml:space="preserve">https://doi.org/10.1016/j.jmsy.2021.10.006</t>
  </si>
  <si>
    <t xml:space="preserve">Zhu, Q., Sarkis, J., &amp; Lai, K.-H.</t>
  </si>
  <si>
    <t xml:space="preserve">Confirmation of a measurement model for green supply chain management practices implementation</t>
  </si>
  <si>
    <t xml:space="preserve">Int. J. of Production Economics, 111(2), 261–273</t>
  </si>
  <si>
    <t xml:space="preserve">Validar un modelo de medición de prácticas GSCM.</t>
  </si>
  <si>
    <t xml:space="preserve">Estudio empírico (encuesta, SEM).</t>
  </si>
  <si>
    <t xml:space="preserve">Se confirman dimensiones medibles de prácticas verdes en la cadena.</t>
  </si>
  <si>
    <t xml:space="preserve">Operacionaliza indicadores de cadena verde.</t>
  </si>
  <si>
    <t xml:space="preserve">Zhu, Q., Sarkis, J., &amp; Lai, K.-H. (2008). Confirmation of a measurement model for green supply chain management practices implementation. Int. J. of Production Economics, 111(2), 261–273. https://doi.org/10.1016/j.ijpe.2006.11.029</t>
  </si>
  <si>
    <t xml:space="preserve">https://doi.org/10.1016/j.ijpe.2006.11.029</t>
  </si>
  <si>
    <t xml:space="preserve">Resumen de control (se calcula solo)</t>
  </si>
  <si>
    <t xml:space="preserve">Total de referencias cargadas</t>
  </si>
  <si>
    <t xml:space="preserve">Referencias de los últimos 5 años (2021–2026)</t>
  </si>
  <si>
    <t xml:space="preserve">% de los últimos 5 años</t>
  </si>
  <si>
    <t xml:space="preserve">Meta de la rúbrica: mínimo 50 referencias</t>
  </si>
  <si>
    <t xml:space="preserve">Meta de la rúbrica: ≥ 60% recientes</t>
  </si>
  <si>
    <t xml:space="preserve">Nota: el % y los contadores incluyen las filas que agregues. Recuerda que las fuentes seminales (anteriores a 2021) son válidas como marco, pero no cuentan para el 60% de actualidad.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</si>
</sst>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5B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B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5B"/>
        <bgColor rgb="FF003366"/>
      </patternFill>
    </fill>
    <fill>
      <patternFill patternType="solid">
        <fgColor rgb="FFF2F2F2"/>
        <bgColor rgb="FFFFF9D9"/>
      </patternFill>
    </fill>
    <fill>
      <patternFill patternType="solid">
        <fgColor rgb="FFFFF9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B5B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  <c r="C5" s="4"/>
    </row>
    <row r="6" customFormat="false" ht="15" hidden="false" customHeight="false" outlineLevel="0" collapsed="false">
      <c r="B6" s="5" t="s">
        <v>2</v>
      </c>
      <c r="C6" s="6"/>
    </row>
    <row r="7" customFormat="false" ht="23.85" hidden="false" customHeight="false" outlineLevel="0" collapsed="false">
      <c r="B7" s="3"/>
      <c r="C7" s="4" t="s">
        <v>3</v>
      </c>
    </row>
    <row r="8" customFormat="false" ht="15" hidden="false" customHeight="false" outlineLevel="0" collapsed="false">
      <c r="B8" s="3"/>
      <c r="C8" s="4"/>
    </row>
    <row r="9" customFormat="false" ht="15" hidden="false" customHeight="false" outlineLevel="0" collapsed="false">
      <c r="B9" s="5" t="s">
        <v>4</v>
      </c>
      <c r="C9" s="6"/>
    </row>
    <row r="10" customFormat="false" ht="15" hidden="false" customHeight="false" outlineLevel="0" collapsed="false">
      <c r="B10" s="3" t="s">
        <v>5</v>
      </c>
      <c r="C10" s="4" t="s">
        <v>6</v>
      </c>
    </row>
    <row r="11" customFormat="false" ht="15" hidden="false" customHeight="false" outlineLevel="0" collapsed="false">
      <c r="B11" s="3" t="s">
        <v>7</v>
      </c>
      <c r="C11" s="4" t="s">
        <v>8</v>
      </c>
    </row>
    <row r="12" customFormat="false" ht="23.85" hidden="false" customHeight="false" outlineLevel="0" collapsed="false">
      <c r="B12" s="3" t="s">
        <v>9</v>
      </c>
      <c r="C12" s="4" t="s">
        <v>10</v>
      </c>
    </row>
    <row r="13" customFormat="false" ht="15" hidden="false" customHeight="false" outlineLevel="0" collapsed="false">
      <c r="B13" s="3" t="s">
        <v>11</v>
      </c>
      <c r="C13" s="4" t="s">
        <v>12</v>
      </c>
    </row>
    <row r="14" customFormat="false" ht="15" hidden="false" customHeight="false" outlineLevel="0" collapsed="false">
      <c r="B14" s="3" t="s">
        <v>13</v>
      </c>
      <c r="C14" s="4" t="s">
        <v>14</v>
      </c>
    </row>
    <row r="15" customFormat="false" ht="15" hidden="false" customHeight="false" outlineLevel="0" collapsed="false">
      <c r="B15" s="3"/>
      <c r="C15" s="4"/>
    </row>
    <row r="16" customFormat="false" ht="15" hidden="false" customHeight="false" outlineLevel="0" collapsed="false">
      <c r="B16" s="5" t="s">
        <v>15</v>
      </c>
      <c r="C16" s="6"/>
    </row>
    <row r="17" customFormat="false" ht="15" hidden="false" customHeight="false" outlineLevel="0" collapsed="false">
      <c r="B17" s="3" t="s">
        <v>16</v>
      </c>
      <c r="C17" s="4" t="s">
        <v>17</v>
      </c>
    </row>
    <row r="18" customFormat="false" ht="15" hidden="false" customHeight="false" outlineLevel="0" collapsed="false">
      <c r="B18" s="3" t="s">
        <v>16</v>
      </c>
      <c r="C18" s="4" t="s">
        <v>18</v>
      </c>
    </row>
    <row r="19" customFormat="false" ht="23.85" hidden="false" customHeight="false" outlineLevel="0" collapsed="false">
      <c r="B19" s="3" t="s">
        <v>16</v>
      </c>
      <c r="C19" s="4" t="s">
        <v>19</v>
      </c>
    </row>
    <row r="20" customFormat="false" ht="15" hidden="false" customHeight="false" outlineLevel="0" collapsed="false">
      <c r="B20" s="3"/>
      <c r="C20" s="4"/>
    </row>
    <row r="21" customFormat="false" ht="15" hidden="false" customHeight="false" outlineLevel="0" collapsed="false">
      <c r="B21" s="5" t="s">
        <v>20</v>
      </c>
      <c r="C21" s="6"/>
    </row>
    <row r="22" customFormat="false" ht="23.85" hidden="false" customHeight="false" outlineLevel="0" collapsed="false">
      <c r="B22" s="3"/>
      <c r="C22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24"/>
    <col collapsed="false" customWidth="true" hidden="false" outlineLevel="0" max="12" min="11" style="0" width="40"/>
    <col collapsed="false" customWidth="true" hidden="false" outlineLevel="0" max="13" min="13" style="0" width="12"/>
    <col collapsed="false" customWidth="true" hidden="false" outlineLevel="0" max="14" min="14" style="0" width="52"/>
    <col collapsed="false" customWidth="true" hidden="false" outlineLevel="0" max="15" min="15" style="0" width="34"/>
  </cols>
  <sheetData>
    <row r="1" customFormat="false" ht="33.75" hidden="false" customHeight="true" outlineLevel="0" collapsed="false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</row>
    <row r="2" customFormat="false" ht="57.75" hidden="false" customHeight="true" outlineLevel="0" collapsed="false">
      <c r="A2" s="8" t="n">
        <v>1</v>
      </c>
      <c r="B2" s="9" t="s">
        <v>37</v>
      </c>
      <c r="C2" s="8" t="n">
        <v>2021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43</v>
      </c>
      <c r="J2" s="9" t="s">
        <v>44</v>
      </c>
      <c r="K2" s="9" t="s">
        <v>45</v>
      </c>
      <c r="L2" s="9" t="s">
        <v>46</v>
      </c>
      <c r="M2" s="8" t="str">
        <f aca="false">IF(C2="","",IF(C2&gt;=2021,"Sí","No"))</f>
        <v>Sí</v>
      </c>
      <c r="N2" s="9" t="s">
        <v>47</v>
      </c>
      <c r="O2" s="9" t="s">
        <v>48</v>
      </c>
    </row>
    <row r="3" customFormat="false" ht="57.75" hidden="false" customHeight="true" outlineLevel="0" collapsed="false">
      <c r="A3" s="10" t="n">
        <v>2</v>
      </c>
      <c r="B3" s="11" t="s">
        <v>49</v>
      </c>
      <c r="C3" s="10" t="n">
        <v>2020</v>
      </c>
      <c r="D3" s="11" t="s">
        <v>50</v>
      </c>
      <c r="E3" s="11" t="s">
        <v>39</v>
      </c>
      <c r="F3" s="11" t="s">
        <v>51</v>
      </c>
      <c r="G3" s="11" t="s">
        <v>52</v>
      </c>
      <c r="H3" s="11" t="s">
        <v>53</v>
      </c>
      <c r="I3" s="11" t="s">
        <v>54</v>
      </c>
      <c r="J3" s="11" t="s">
        <v>55</v>
      </c>
      <c r="K3" s="11" t="s">
        <v>56</v>
      </c>
      <c r="L3" s="11" t="s">
        <v>57</v>
      </c>
      <c r="M3" s="10" t="str">
        <f aca="false">IF(C3="","",IF(C3&gt;=2021,"Sí","No"))</f>
        <v>No</v>
      </c>
      <c r="N3" s="11" t="s">
        <v>58</v>
      </c>
      <c r="O3" s="11" t="s">
        <v>59</v>
      </c>
    </row>
    <row r="4" customFormat="false" ht="57.75" hidden="false" customHeight="true" outlineLevel="0" collapsed="false">
      <c r="A4" s="8" t="n">
        <v>3</v>
      </c>
      <c r="B4" s="9" t="s">
        <v>60</v>
      </c>
      <c r="C4" s="8" t="n">
        <v>2022</v>
      </c>
      <c r="D4" s="9" t="s">
        <v>61</v>
      </c>
      <c r="E4" s="9" t="s">
        <v>39</v>
      </c>
      <c r="F4" s="9" t="s">
        <v>40</v>
      </c>
      <c r="G4" s="9" t="s">
        <v>62</v>
      </c>
      <c r="H4" s="9" t="s">
        <v>63</v>
      </c>
      <c r="I4" s="9" t="s">
        <v>64</v>
      </c>
      <c r="J4" s="9" t="s">
        <v>65</v>
      </c>
      <c r="K4" s="9" t="s">
        <v>66</v>
      </c>
      <c r="L4" s="9" t="s">
        <v>67</v>
      </c>
      <c r="M4" s="8" t="str">
        <f aca="false">IF(C4="","",IF(C4&gt;=2021,"Sí","No"))</f>
        <v>Sí</v>
      </c>
      <c r="N4" s="9" t="s">
        <v>68</v>
      </c>
      <c r="O4" s="9" t="s">
        <v>69</v>
      </c>
    </row>
    <row r="5" customFormat="false" ht="57.75" hidden="false" customHeight="true" outlineLevel="0" collapsed="false">
      <c r="A5" s="10" t="n">
        <v>4</v>
      </c>
      <c r="B5" s="11" t="s">
        <v>70</v>
      </c>
      <c r="C5" s="10" t="n">
        <v>2016</v>
      </c>
      <c r="D5" s="11" t="s">
        <v>71</v>
      </c>
      <c r="E5" s="11" t="s">
        <v>39</v>
      </c>
      <c r="F5" s="11" t="s">
        <v>40</v>
      </c>
      <c r="G5" s="11" t="s">
        <v>72</v>
      </c>
      <c r="H5" s="11" t="s">
        <v>73</v>
      </c>
      <c r="I5" s="11" t="s">
        <v>74</v>
      </c>
      <c r="J5" s="11" t="s">
        <v>75</v>
      </c>
      <c r="K5" s="11" t="s">
        <v>76</v>
      </c>
      <c r="L5" s="11" t="s">
        <v>77</v>
      </c>
      <c r="M5" s="10" t="str">
        <f aca="false">IF(C5="","",IF(C5&gt;=2021,"Sí","No"))</f>
        <v>No</v>
      </c>
      <c r="N5" s="11" t="s">
        <v>78</v>
      </c>
      <c r="O5" s="11" t="s">
        <v>79</v>
      </c>
    </row>
    <row r="6" customFormat="false" ht="57.75" hidden="false" customHeight="true" outlineLevel="0" collapsed="false">
      <c r="A6" s="8" t="n">
        <v>5</v>
      </c>
      <c r="B6" s="9" t="s">
        <v>80</v>
      </c>
      <c r="C6" s="8" t="n">
        <v>2008</v>
      </c>
      <c r="D6" s="9" t="s">
        <v>81</v>
      </c>
      <c r="E6" s="9" t="s">
        <v>39</v>
      </c>
      <c r="F6" s="9" t="s">
        <v>51</v>
      </c>
      <c r="G6" s="9" t="s">
        <v>82</v>
      </c>
      <c r="H6" s="9" t="s">
        <v>83</v>
      </c>
      <c r="I6" s="9" t="s">
        <v>84</v>
      </c>
      <c r="J6" s="9" t="s">
        <v>85</v>
      </c>
      <c r="K6" s="9" t="s">
        <v>86</v>
      </c>
      <c r="L6" s="9" t="s">
        <v>87</v>
      </c>
      <c r="M6" s="8" t="str">
        <f aca="false">IF(C6="","",IF(C6&gt;=2021,"Sí","No"))</f>
        <v>No</v>
      </c>
      <c r="N6" s="9" t="s">
        <v>88</v>
      </c>
      <c r="O6" s="9" t="s">
        <v>89</v>
      </c>
    </row>
    <row r="7" customFormat="false" ht="57.75" hidden="false" customHeight="true" outlineLevel="0" collapsed="false">
      <c r="A7" s="10" t="n">
        <v>6</v>
      </c>
      <c r="B7" s="11" t="s">
        <v>90</v>
      </c>
      <c r="C7" s="10" t="n">
        <v>2014</v>
      </c>
      <c r="D7" s="11" t="s">
        <v>91</v>
      </c>
      <c r="E7" s="11" t="s">
        <v>39</v>
      </c>
      <c r="F7" s="11" t="s">
        <v>51</v>
      </c>
      <c r="G7" s="11" t="s">
        <v>92</v>
      </c>
      <c r="H7" s="11" t="s">
        <v>63</v>
      </c>
      <c r="I7" s="11" t="s">
        <v>93</v>
      </c>
      <c r="J7" s="11" t="s">
        <v>94</v>
      </c>
      <c r="K7" s="11" t="s">
        <v>95</v>
      </c>
      <c r="L7" s="11" t="s">
        <v>96</v>
      </c>
      <c r="M7" s="10" t="str">
        <f aca="false">IF(C7="","",IF(C7&gt;=2021,"Sí","No"))</f>
        <v>No</v>
      </c>
      <c r="N7" s="11" t="s">
        <v>97</v>
      </c>
      <c r="O7" s="11" t="s">
        <v>98</v>
      </c>
    </row>
    <row r="8" customFormat="false" ht="57.75" hidden="false" customHeight="true" outlineLevel="0" collapsed="false">
      <c r="A8" s="8" t="n">
        <v>7</v>
      </c>
      <c r="B8" s="9" t="s">
        <v>99</v>
      </c>
      <c r="C8" s="8" t="n">
        <v>2013</v>
      </c>
      <c r="D8" s="9" t="s">
        <v>100</v>
      </c>
      <c r="E8" s="9" t="s">
        <v>101</v>
      </c>
      <c r="F8" s="9" t="s">
        <v>102</v>
      </c>
      <c r="G8" s="9" t="s">
        <v>99</v>
      </c>
      <c r="H8" s="9" t="s">
        <v>73</v>
      </c>
      <c r="I8" s="9" t="s">
        <v>103</v>
      </c>
      <c r="J8" s="9" t="s">
        <v>104</v>
      </c>
      <c r="K8" s="9" t="s">
        <v>105</v>
      </c>
      <c r="L8" s="9" t="s">
        <v>106</v>
      </c>
      <c r="M8" s="8" t="str">
        <f aca="false">IF(C8="","",IF(C8&gt;=2021,"Sí","No"))</f>
        <v>No</v>
      </c>
      <c r="N8" s="9" t="s">
        <v>107</v>
      </c>
      <c r="O8" s="9" t="s">
        <v>108</v>
      </c>
    </row>
    <row r="9" customFormat="false" ht="57.75" hidden="false" customHeight="true" outlineLevel="0" collapsed="false">
      <c r="A9" s="10" t="n">
        <v>8</v>
      </c>
      <c r="B9" s="11" t="s">
        <v>109</v>
      </c>
      <c r="C9" s="10" t="n">
        <v>2015</v>
      </c>
      <c r="D9" s="11" t="s">
        <v>110</v>
      </c>
      <c r="E9" s="11" t="s">
        <v>111</v>
      </c>
      <c r="F9" s="11" t="s">
        <v>40</v>
      </c>
      <c r="G9" s="11" t="s">
        <v>112</v>
      </c>
      <c r="H9" s="11" t="s">
        <v>63</v>
      </c>
      <c r="I9" s="11" t="s">
        <v>113</v>
      </c>
      <c r="J9" s="11" t="s">
        <v>114</v>
      </c>
      <c r="K9" s="11" t="s">
        <v>115</v>
      </c>
      <c r="L9" s="11" t="s">
        <v>116</v>
      </c>
      <c r="M9" s="10" t="str">
        <f aca="false">IF(C9="","",IF(C9&gt;=2021,"Sí","No"))</f>
        <v>No</v>
      </c>
      <c r="N9" s="11" t="s">
        <v>117</v>
      </c>
      <c r="O9" s="11" t="s">
        <v>118</v>
      </c>
    </row>
    <row r="10" customFormat="false" ht="57.75" hidden="false" customHeight="true" outlineLevel="0" collapsed="false">
      <c r="A10" s="8" t="n">
        <v>9</v>
      </c>
      <c r="B10" s="9" t="s">
        <v>119</v>
      </c>
      <c r="C10" s="8" t="n">
        <v>2017</v>
      </c>
      <c r="D10" s="9" t="s">
        <v>120</v>
      </c>
      <c r="E10" s="9" t="s">
        <v>111</v>
      </c>
      <c r="F10" s="9" t="s">
        <v>40</v>
      </c>
      <c r="G10" s="9" t="s">
        <v>121</v>
      </c>
      <c r="H10" s="9" t="s">
        <v>73</v>
      </c>
      <c r="I10" s="9" t="s">
        <v>122</v>
      </c>
      <c r="J10" s="9" t="s">
        <v>123</v>
      </c>
      <c r="K10" s="9" t="s">
        <v>124</v>
      </c>
      <c r="L10" s="9" t="s">
        <v>125</v>
      </c>
      <c r="M10" s="8" t="str">
        <f aca="false">IF(C10="","",IF(C10&gt;=2021,"Sí","No"))</f>
        <v>No</v>
      </c>
      <c r="N10" s="9" t="s">
        <v>126</v>
      </c>
      <c r="O10" s="9" t="s">
        <v>127</v>
      </c>
    </row>
    <row r="11" customFormat="false" ht="57.75" hidden="false" customHeight="true" outlineLevel="0" collapsed="false">
      <c r="A11" s="10" t="n">
        <v>10</v>
      </c>
      <c r="B11" s="11" t="s">
        <v>128</v>
      </c>
      <c r="C11" s="10" t="n">
        <v>2019</v>
      </c>
      <c r="D11" s="11" t="s">
        <v>129</v>
      </c>
      <c r="E11" s="11" t="s">
        <v>39</v>
      </c>
      <c r="F11" s="11" t="s">
        <v>51</v>
      </c>
      <c r="G11" s="11" t="s">
        <v>130</v>
      </c>
      <c r="H11" s="11" t="s">
        <v>73</v>
      </c>
      <c r="I11" s="11" t="s">
        <v>131</v>
      </c>
      <c r="J11" s="11" t="s">
        <v>132</v>
      </c>
      <c r="K11" s="11" t="s">
        <v>133</v>
      </c>
      <c r="L11" s="11" t="s">
        <v>134</v>
      </c>
      <c r="M11" s="10" t="str">
        <f aca="false">IF(C11="","",IF(C11&gt;=2021,"Sí","No"))</f>
        <v>No</v>
      </c>
      <c r="N11" s="11" t="s">
        <v>135</v>
      </c>
      <c r="O11" s="11" t="s">
        <v>136</v>
      </c>
    </row>
    <row r="12" customFormat="false" ht="57.75" hidden="false" customHeight="true" outlineLevel="0" collapsed="false">
      <c r="A12" s="8" t="n">
        <v>11</v>
      </c>
      <c r="B12" s="9" t="s">
        <v>137</v>
      </c>
      <c r="C12" s="8" t="n">
        <v>2020</v>
      </c>
      <c r="D12" s="9" t="s">
        <v>138</v>
      </c>
      <c r="E12" s="9" t="s">
        <v>39</v>
      </c>
      <c r="F12" s="9" t="s">
        <v>40</v>
      </c>
      <c r="G12" s="9" t="s">
        <v>139</v>
      </c>
      <c r="H12" s="9" t="s">
        <v>53</v>
      </c>
      <c r="I12" s="9" t="s">
        <v>140</v>
      </c>
      <c r="J12" s="9" t="s">
        <v>141</v>
      </c>
      <c r="K12" s="9" t="s">
        <v>142</v>
      </c>
      <c r="L12" s="9" t="s">
        <v>143</v>
      </c>
      <c r="M12" s="8" t="str">
        <f aca="false">IF(C12="","",IF(C12&gt;=2021,"Sí","No"))</f>
        <v>No</v>
      </c>
      <c r="N12" s="9" t="s">
        <v>144</v>
      </c>
      <c r="O12" s="9" t="s">
        <v>145</v>
      </c>
    </row>
    <row r="13" customFormat="false" ht="57.75" hidden="false" customHeight="true" outlineLevel="0" collapsed="false">
      <c r="A13" s="10" t="n">
        <v>12</v>
      </c>
      <c r="B13" s="11" t="s">
        <v>146</v>
      </c>
      <c r="C13" s="10" t="n">
        <v>2021</v>
      </c>
      <c r="D13" s="11" t="s">
        <v>147</v>
      </c>
      <c r="E13" s="11" t="s">
        <v>111</v>
      </c>
      <c r="F13" s="11" t="s">
        <v>40</v>
      </c>
      <c r="G13" s="11" t="s">
        <v>148</v>
      </c>
      <c r="H13" s="11" t="s">
        <v>63</v>
      </c>
      <c r="I13" s="11" t="s">
        <v>149</v>
      </c>
      <c r="J13" s="11" t="s">
        <v>150</v>
      </c>
      <c r="K13" s="11" t="s">
        <v>151</v>
      </c>
      <c r="L13" s="11" t="s">
        <v>152</v>
      </c>
      <c r="M13" s="10" t="str">
        <f aca="false">IF(C13="","",IF(C13&gt;=2021,"Sí","No"))</f>
        <v>Sí</v>
      </c>
      <c r="N13" s="11" t="s">
        <v>153</v>
      </c>
      <c r="O13" s="11" t="s">
        <v>154</v>
      </c>
    </row>
    <row r="14" customFormat="false" ht="57.75" hidden="false" customHeight="true" outlineLevel="0" collapsed="false">
      <c r="A14" s="8" t="n">
        <v>13</v>
      </c>
      <c r="B14" s="9" t="s">
        <v>155</v>
      </c>
      <c r="C14" s="8" t="n">
        <v>2015</v>
      </c>
      <c r="D14" s="9" t="s">
        <v>156</v>
      </c>
      <c r="E14" s="9" t="s">
        <v>111</v>
      </c>
      <c r="F14" s="9" t="s">
        <v>40</v>
      </c>
      <c r="G14" s="9" t="s">
        <v>157</v>
      </c>
      <c r="H14" s="9" t="s">
        <v>83</v>
      </c>
      <c r="I14" s="9" t="s">
        <v>158</v>
      </c>
      <c r="J14" s="9" t="s">
        <v>159</v>
      </c>
      <c r="K14" s="9" t="s">
        <v>160</v>
      </c>
      <c r="L14" s="9" t="s">
        <v>161</v>
      </c>
      <c r="M14" s="8" t="str">
        <f aca="false">IF(C14="","",IF(C14&gt;=2021,"Sí","No"))</f>
        <v>No</v>
      </c>
      <c r="N14" s="9" t="s">
        <v>162</v>
      </c>
      <c r="O14" s="9" t="s">
        <v>163</v>
      </c>
    </row>
    <row r="15" customFormat="false" ht="57.75" hidden="false" customHeight="true" outlineLevel="0" collapsed="false">
      <c r="A15" s="10" t="n">
        <v>14</v>
      </c>
      <c r="B15" s="11" t="s">
        <v>164</v>
      </c>
      <c r="C15" s="10" t="n">
        <v>2018</v>
      </c>
      <c r="D15" s="11" t="s">
        <v>165</v>
      </c>
      <c r="E15" s="11" t="s">
        <v>39</v>
      </c>
      <c r="F15" s="11" t="s">
        <v>51</v>
      </c>
      <c r="G15" s="11" t="s">
        <v>166</v>
      </c>
      <c r="H15" s="11" t="s">
        <v>53</v>
      </c>
      <c r="I15" s="11" t="s">
        <v>167</v>
      </c>
      <c r="J15" s="11" t="s">
        <v>168</v>
      </c>
      <c r="K15" s="11" t="s">
        <v>169</v>
      </c>
      <c r="L15" s="11" t="s">
        <v>170</v>
      </c>
      <c r="M15" s="10" t="str">
        <f aca="false">IF(C15="","",IF(C15&gt;=2021,"Sí","No"))</f>
        <v>No</v>
      </c>
      <c r="N15" s="11" t="s">
        <v>171</v>
      </c>
      <c r="O15" s="11" t="s">
        <v>172</v>
      </c>
    </row>
    <row r="16" customFormat="false" ht="57.75" hidden="false" customHeight="true" outlineLevel="0" collapsed="false">
      <c r="A16" s="8" t="n">
        <v>15</v>
      </c>
      <c r="B16" s="9" t="s">
        <v>173</v>
      </c>
      <c r="C16" s="8" t="n">
        <v>2023</v>
      </c>
      <c r="D16" s="9" t="s">
        <v>174</v>
      </c>
      <c r="E16" s="9" t="s">
        <v>39</v>
      </c>
      <c r="F16" s="9" t="s">
        <v>40</v>
      </c>
      <c r="G16" s="9" t="s">
        <v>175</v>
      </c>
      <c r="H16" s="9" t="s">
        <v>176</v>
      </c>
      <c r="I16" s="9" t="s">
        <v>177</v>
      </c>
      <c r="J16" s="9" t="s">
        <v>178</v>
      </c>
      <c r="K16" s="9" t="s">
        <v>179</v>
      </c>
      <c r="L16" s="9" t="s">
        <v>180</v>
      </c>
      <c r="M16" s="8" t="str">
        <f aca="false">IF(C16="","",IF(C16&gt;=2021,"Sí","No"))</f>
        <v>Sí</v>
      </c>
      <c r="N16" s="9" t="s">
        <v>181</v>
      </c>
      <c r="O16" s="9" t="s">
        <v>182</v>
      </c>
    </row>
    <row r="17" customFormat="false" ht="57.75" hidden="false" customHeight="true" outlineLevel="0" collapsed="false">
      <c r="A17" s="10" t="n">
        <v>16</v>
      </c>
      <c r="B17" s="11" t="s">
        <v>183</v>
      </c>
      <c r="C17" s="10" t="n">
        <v>2013</v>
      </c>
      <c r="D17" s="11" t="s">
        <v>184</v>
      </c>
      <c r="E17" s="11" t="s">
        <v>101</v>
      </c>
      <c r="F17" s="11" t="s">
        <v>102</v>
      </c>
      <c r="G17" s="11" t="s">
        <v>185</v>
      </c>
      <c r="H17" s="11" t="s">
        <v>176</v>
      </c>
      <c r="I17" s="11" t="s">
        <v>186</v>
      </c>
      <c r="J17" s="11" t="s">
        <v>187</v>
      </c>
      <c r="K17" s="11" t="s">
        <v>188</v>
      </c>
      <c r="L17" s="11" t="s">
        <v>189</v>
      </c>
      <c r="M17" s="10" t="str">
        <f aca="false">IF(C17="","",IF(C17&gt;=2021,"Sí","No"))</f>
        <v>No</v>
      </c>
      <c r="N17" s="11" t="s">
        <v>190</v>
      </c>
      <c r="O17" s="11" t="s">
        <v>191</v>
      </c>
    </row>
    <row r="18" customFormat="false" ht="57.75" hidden="false" customHeight="true" outlineLevel="0" collapsed="false">
      <c r="A18" s="8" t="n">
        <v>17</v>
      </c>
      <c r="B18" s="9" t="s">
        <v>192</v>
      </c>
      <c r="C18" s="8" t="n">
        <v>2016</v>
      </c>
      <c r="D18" s="9" t="s">
        <v>193</v>
      </c>
      <c r="E18" s="9" t="s">
        <v>39</v>
      </c>
      <c r="F18" s="9" t="s">
        <v>51</v>
      </c>
      <c r="G18" s="9" t="s">
        <v>194</v>
      </c>
      <c r="H18" s="9" t="s">
        <v>63</v>
      </c>
      <c r="I18" s="9" t="s">
        <v>195</v>
      </c>
      <c r="J18" s="9" t="s">
        <v>196</v>
      </c>
      <c r="K18" s="9" t="s">
        <v>197</v>
      </c>
      <c r="L18" s="9" t="s">
        <v>198</v>
      </c>
      <c r="M18" s="8" t="str">
        <f aca="false">IF(C18="","",IF(C18&gt;=2021,"Sí","No"))</f>
        <v>No</v>
      </c>
      <c r="N18" s="9" t="s">
        <v>199</v>
      </c>
      <c r="O18" s="9" t="s">
        <v>200</v>
      </c>
    </row>
    <row r="19" customFormat="false" ht="57.75" hidden="false" customHeight="true" outlineLevel="0" collapsed="false">
      <c r="A19" s="10" t="n">
        <v>18</v>
      </c>
      <c r="B19" s="11" t="s">
        <v>201</v>
      </c>
      <c r="C19" s="10" t="n">
        <v>2017</v>
      </c>
      <c r="D19" s="11" t="s">
        <v>202</v>
      </c>
      <c r="E19" s="11" t="s">
        <v>39</v>
      </c>
      <c r="F19" s="11" t="s">
        <v>40</v>
      </c>
      <c r="G19" s="11" t="s">
        <v>203</v>
      </c>
      <c r="H19" s="11" t="s">
        <v>73</v>
      </c>
      <c r="I19" s="11" t="s">
        <v>204</v>
      </c>
      <c r="J19" s="11" t="s">
        <v>205</v>
      </c>
      <c r="K19" s="11" t="s">
        <v>206</v>
      </c>
      <c r="L19" s="11" t="s">
        <v>207</v>
      </c>
      <c r="M19" s="10" t="str">
        <f aca="false">IF(C19="","",IF(C19&gt;=2021,"Sí","No"))</f>
        <v>No</v>
      </c>
      <c r="N19" s="11" t="s">
        <v>208</v>
      </c>
      <c r="O19" s="11" t="s">
        <v>209</v>
      </c>
    </row>
    <row r="20" customFormat="false" ht="57.75" hidden="false" customHeight="true" outlineLevel="0" collapsed="false">
      <c r="A20" s="8" t="n">
        <v>19</v>
      </c>
      <c r="B20" s="9" t="s">
        <v>210</v>
      </c>
      <c r="C20" s="8" t="n">
        <v>2018</v>
      </c>
      <c r="D20" s="9" t="s">
        <v>211</v>
      </c>
      <c r="E20" s="9" t="s">
        <v>39</v>
      </c>
      <c r="F20" s="9" t="s">
        <v>40</v>
      </c>
      <c r="G20" s="9" t="s">
        <v>212</v>
      </c>
      <c r="H20" s="9" t="s">
        <v>73</v>
      </c>
      <c r="I20" s="9" t="s">
        <v>213</v>
      </c>
      <c r="J20" s="9" t="s">
        <v>214</v>
      </c>
      <c r="K20" s="9" t="s">
        <v>215</v>
      </c>
      <c r="L20" s="9" t="s">
        <v>216</v>
      </c>
      <c r="M20" s="8" t="str">
        <f aca="false">IF(C20="","",IF(C20&gt;=2021,"Sí","No"))</f>
        <v>No</v>
      </c>
      <c r="N20" s="9" t="s">
        <v>217</v>
      </c>
      <c r="O20" s="9" t="s">
        <v>218</v>
      </c>
    </row>
    <row r="21" customFormat="false" ht="57.75" hidden="false" customHeight="true" outlineLevel="0" collapsed="false">
      <c r="A21" s="10" t="n">
        <v>20</v>
      </c>
      <c r="B21" s="11" t="s">
        <v>219</v>
      </c>
      <c r="C21" s="10" t="n">
        <v>2022</v>
      </c>
      <c r="D21" s="11" t="s">
        <v>220</v>
      </c>
      <c r="E21" s="11" t="s">
        <v>111</v>
      </c>
      <c r="F21" s="11" t="s">
        <v>40</v>
      </c>
      <c r="G21" s="11" t="s">
        <v>221</v>
      </c>
      <c r="H21" s="11" t="s">
        <v>176</v>
      </c>
      <c r="I21" s="11" t="s">
        <v>222</v>
      </c>
      <c r="J21" s="11" t="s">
        <v>150</v>
      </c>
      <c r="K21" s="11" t="s">
        <v>223</v>
      </c>
      <c r="L21" s="11" t="s">
        <v>224</v>
      </c>
      <c r="M21" s="10" t="str">
        <f aca="false">IF(C21="","",IF(C21&gt;=2021,"Sí","No"))</f>
        <v>Sí</v>
      </c>
      <c r="N21" s="11" t="s">
        <v>225</v>
      </c>
      <c r="O21" s="11" t="s">
        <v>226</v>
      </c>
    </row>
    <row r="22" customFormat="false" ht="57.75" hidden="false" customHeight="true" outlineLevel="0" collapsed="false">
      <c r="A22" s="8" t="n">
        <v>21</v>
      </c>
      <c r="B22" s="9" t="s">
        <v>227</v>
      </c>
      <c r="C22" s="8" t="n">
        <v>2016</v>
      </c>
      <c r="D22" s="9" t="s">
        <v>228</v>
      </c>
      <c r="E22" s="9" t="s">
        <v>111</v>
      </c>
      <c r="F22" s="9" t="s">
        <v>40</v>
      </c>
      <c r="G22" s="9" t="s">
        <v>229</v>
      </c>
      <c r="H22" s="9" t="s">
        <v>73</v>
      </c>
      <c r="I22" s="9" t="s">
        <v>230</v>
      </c>
      <c r="J22" s="9" t="s">
        <v>159</v>
      </c>
      <c r="K22" s="9" t="s">
        <v>231</v>
      </c>
      <c r="L22" s="9" t="s">
        <v>232</v>
      </c>
      <c r="M22" s="8" t="str">
        <f aca="false">IF(C22="","",IF(C22&gt;=2021,"Sí","No"))</f>
        <v>No</v>
      </c>
      <c r="N22" s="9" t="s">
        <v>233</v>
      </c>
      <c r="O22" s="9" t="s">
        <v>234</v>
      </c>
    </row>
    <row r="23" customFormat="false" ht="57.75" hidden="false" customHeight="true" outlineLevel="0" collapsed="false">
      <c r="A23" s="10" t="n">
        <v>22</v>
      </c>
      <c r="B23" s="11" t="s">
        <v>235</v>
      </c>
      <c r="C23" s="10" t="n">
        <v>2022</v>
      </c>
      <c r="D23" s="11" t="s">
        <v>236</v>
      </c>
      <c r="E23" s="11" t="s">
        <v>111</v>
      </c>
      <c r="F23" s="11" t="s">
        <v>40</v>
      </c>
      <c r="G23" s="11" t="s">
        <v>237</v>
      </c>
      <c r="H23" s="11" t="s">
        <v>176</v>
      </c>
      <c r="I23" s="11" t="s">
        <v>238</v>
      </c>
      <c r="J23" s="11" t="s">
        <v>239</v>
      </c>
      <c r="K23" s="11" t="s">
        <v>240</v>
      </c>
      <c r="L23" s="11" t="s">
        <v>241</v>
      </c>
      <c r="M23" s="10" t="str">
        <f aca="false">IF(C23="","",IF(C23&gt;=2021,"Sí","No"))</f>
        <v>Sí</v>
      </c>
      <c r="N23" s="11" t="s">
        <v>242</v>
      </c>
      <c r="O23" s="11" t="s">
        <v>243</v>
      </c>
    </row>
    <row r="24" customFormat="false" ht="57.75" hidden="false" customHeight="true" outlineLevel="0" collapsed="false">
      <c r="A24" s="8" t="n">
        <v>23</v>
      </c>
      <c r="B24" s="9" t="s">
        <v>244</v>
      </c>
      <c r="C24" s="8" t="n">
        <v>2009</v>
      </c>
      <c r="D24" s="9" t="s">
        <v>245</v>
      </c>
      <c r="E24" s="9" t="s">
        <v>39</v>
      </c>
      <c r="F24" s="9" t="s">
        <v>51</v>
      </c>
      <c r="G24" s="9" t="s">
        <v>246</v>
      </c>
      <c r="H24" s="9" t="s">
        <v>247</v>
      </c>
      <c r="I24" s="9" t="s">
        <v>248</v>
      </c>
      <c r="J24" s="9" t="s">
        <v>249</v>
      </c>
      <c r="K24" s="9" t="s">
        <v>250</v>
      </c>
      <c r="L24" s="9" t="s">
        <v>251</v>
      </c>
      <c r="M24" s="8" t="str">
        <f aca="false">IF(C24="","",IF(C24&gt;=2021,"Sí","No"))</f>
        <v>No</v>
      </c>
      <c r="N24" s="9" t="s">
        <v>252</v>
      </c>
      <c r="O24" s="9" t="s">
        <v>253</v>
      </c>
    </row>
    <row r="25" customFormat="false" ht="57.75" hidden="false" customHeight="true" outlineLevel="0" collapsed="false">
      <c r="A25" s="10" t="n">
        <v>24</v>
      </c>
      <c r="B25" s="11" t="s">
        <v>254</v>
      </c>
      <c r="C25" s="10" t="n">
        <v>2017</v>
      </c>
      <c r="D25" s="11" t="s">
        <v>255</v>
      </c>
      <c r="E25" s="11" t="s">
        <v>39</v>
      </c>
      <c r="F25" s="11" t="s">
        <v>40</v>
      </c>
      <c r="G25" s="11" t="s">
        <v>256</v>
      </c>
      <c r="H25" s="11" t="s">
        <v>73</v>
      </c>
      <c r="I25" s="11" t="s">
        <v>257</v>
      </c>
      <c r="J25" s="11" t="s">
        <v>258</v>
      </c>
      <c r="K25" s="11" t="s">
        <v>259</v>
      </c>
      <c r="L25" s="11" t="s">
        <v>260</v>
      </c>
      <c r="M25" s="10" t="str">
        <f aca="false">IF(C25="","",IF(C25&gt;=2021,"Sí","No"))</f>
        <v>No</v>
      </c>
      <c r="N25" s="11" t="s">
        <v>261</v>
      </c>
      <c r="O25" s="11" t="s">
        <v>262</v>
      </c>
    </row>
    <row r="26" customFormat="false" ht="57.75" hidden="false" customHeight="true" outlineLevel="0" collapsed="false">
      <c r="A26" s="8" t="n">
        <v>25</v>
      </c>
      <c r="B26" s="9" t="s">
        <v>263</v>
      </c>
      <c r="C26" s="8" t="n">
        <v>2019</v>
      </c>
      <c r="D26" s="9" t="s">
        <v>264</v>
      </c>
      <c r="E26" s="9" t="s">
        <v>39</v>
      </c>
      <c r="F26" s="9" t="s">
        <v>40</v>
      </c>
      <c r="G26" s="9" t="s">
        <v>265</v>
      </c>
      <c r="H26" s="9" t="s">
        <v>176</v>
      </c>
      <c r="I26" s="9" t="s">
        <v>266</v>
      </c>
      <c r="J26" s="9" t="s">
        <v>267</v>
      </c>
      <c r="K26" s="9" t="s">
        <v>268</v>
      </c>
      <c r="L26" s="9" t="s">
        <v>269</v>
      </c>
      <c r="M26" s="8" t="str">
        <f aca="false">IF(C26="","",IF(C26&gt;=2021,"Sí","No"))</f>
        <v>No</v>
      </c>
      <c r="N26" s="9" t="s">
        <v>270</v>
      </c>
      <c r="O26" s="9" t="s">
        <v>271</v>
      </c>
    </row>
    <row r="27" customFormat="false" ht="57.75" hidden="false" customHeight="true" outlineLevel="0" collapsed="false">
      <c r="A27" s="10" t="n">
        <v>26</v>
      </c>
      <c r="B27" s="11" t="s">
        <v>272</v>
      </c>
      <c r="C27" s="10" t="n">
        <v>2019</v>
      </c>
      <c r="D27" s="11" t="s">
        <v>273</v>
      </c>
      <c r="E27" s="11" t="s">
        <v>39</v>
      </c>
      <c r="F27" s="11" t="s">
        <v>40</v>
      </c>
      <c r="G27" s="11" t="s">
        <v>274</v>
      </c>
      <c r="H27" s="11" t="s">
        <v>42</v>
      </c>
      <c r="I27" s="11" t="s">
        <v>275</v>
      </c>
      <c r="J27" s="11" t="s">
        <v>276</v>
      </c>
      <c r="K27" s="11" t="s">
        <v>277</v>
      </c>
      <c r="L27" s="11" t="s">
        <v>278</v>
      </c>
      <c r="M27" s="10" t="str">
        <f aca="false">IF(C27="","",IF(C27&gt;=2021,"Sí","No"))</f>
        <v>No</v>
      </c>
      <c r="N27" s="11" t="s">
        <v>279</v>
      </c>
      <c r="O27" s="11" t="s">
        <v>280</v>
      </c>
    </row>
    <row r="28" customFormat="false" ht="57.75" hidden="false" customHeight="true" outlineLevel="0" collapsed="false">
      <c r="A28" s="8" t="n">
        <v>27</v>
      </c>
      <c r="B28" s="9" t="s">
        <v>281</v>
      </c>
      <c r="C28" s="8" t="n">
        <v>2021</v>
      </c>
      <c r="D28" s="9" t="s">
        <v>282</v>
      </c>
      <c r="E28" s="9" t="s">
        <v>39</v>
      </c>
      <c r="F28" s="9" t="s">
        <v>51</v>
      </c>
      <c r="G28" s="9" t="s">
        <v>283</v>
      </c>
      <c r="H28" s="9" t="s">
        <v>247</v>
      </c>
      <c r="I28" s="9" t="s">
        <v>284</v>
      </c>
      <c r="J28" s="9" t="s">
        <v>285</v>
      </c>
      <c r="K28" s="9" t="s">
        <v>286</v>
      </c>
      <c r="L28" s="9" t="s">
        <v>287</v>
      </c>
      <c r="M28" s="8" t="str">
        <f aca="false">IF(C28="","",IF(C28&gt;=2021,"Sí","No"))</f>
        <v>Sí</v>
      </c>
      <c r="N28" s="9" t="s">
        <v>288</v>
      </c>
      <c r="O28" s="9" t="s">
        <v>289</v>
      </c>
    </row>
    <row r="29" customFormat="false" ht="57.75" hidden="false" customHeight="true" outlineLevel="0" collapsed="false">
      <c r="A29" s="10" t="n">
        <v>28</v>
      </c>
      <c r="B29" s="11" t="s">
        <v>290</v>
      </c>
      <c r="C29" s="10" t="n">
        <v>2019</v>
      </c>
      <c r="D29" s="11" t="s">
        <v>291</v>
      </c>
      <c r="E29" s="11" t="s">
        <v>39</v>
      </c>
      <c r="F29" s="11" t="s">
        <v>40</v>
      </c>
      <c r="G29" s="11" t="s">
        <v>292</v>
      </c>
      <c r="H29" s="11" t="s">
        <v>42</v>
      </c>
      <c r="I29" s="11" t="s">
        <v>293</v>
      </c>
      <c r="J29" s="11" t="s">
        <v>294</v>
      </c>
      <c r="K29" s="11" t="s">
        <v>295</v>
      </c>
      <c r="L29" s="11" t="s">
        <v>296</v>
      </c>
      <c r="M29" s="10" t="str">
        <f aca="false">IF(C29="","",IF(C29&gt;=2021,"Sí","No"))</f>
        <v>No</v>
      </c>
      <c r="N29" s="11" t="s">
        <v>297</v>
      </c>
      <c r="O29" s="11" t="s">
        <v>298</v>
      </c>
    </row>
    <row r="30" customFormat="false" ht="57.75" hidden="false" customHeight="true" outlineLevel="0" collapsed="false">
      <c r="A30" s="8" t="n">
        <v>29</v>
      </c>
      <c r="B30" s="9" t="s">
        <v>299</v>
      </c>
      <c r="C30" s="8" t="n">
        <v>2011</v>
      </c>
      <c r="D30" s="9" t="s">
        <v>300</v>
      </c>
      <c r="E30" s="9" t="s">
        <v>111</v>
      </c>
      <c r="F30" s="9" t="s">
        <v>40</v>
      </c>
      <c r="G30" s="9" t="s">
        <v>301</v>
      </c>
      <c r="H30" s="9" t="s">
        <v>83</v>
      </c>
      <c r="I30" s="9" t="s">
        <v>302</v>
      </c>
      <c r="J30" s="9" t="s">
        <v>303</v>
      </c>
      <c r="K30" s="9" t="s">
        <v>304</v>
      </c>
      <c r="L30" s="9" t="s">
        <v>305</v>
      </c>
      <c r="M30" s="8" t="str">
        <f aca="false">IF(C30="","",IF(C30&gt;=2021,"Sí","No"))</f>
        <v>No</v>
      </c>
      <c r="N30" s="9" t="s">
        <v>306</v>
      </c>
      <c r="O30" s="9" t="s">
        <v>307</v>
      </c>
    </row>
    <row r="31" customFormat="false" ht="57.75" hidden="false" customHeight="true" outlineLevel="0" collapsed="false">
      <c r="A31" s="10" t="n">
        <v>30</v>
      </c>
      <c r="B31" s="11" t="s">
        <v>308</v>
      </c>
      <c r="C31" s="10" t="n">
        <v>2008</v>
      </c>
      <c r="D31" s="11" t="s">
        <v>309</v>
      </c>
      <c r="E31" s="11" t="s">
        <v>111</v>
      </c>
      <c r="F31" s="11" t="s">
        <v>40</v>
      </c>
      <c r="G31" s="11" t="s">
        <v>310</v>
      </c>
      <c r="H31" s="11" t="s">
        <v>83</v>
      </c>
      <c r="I31" s="11" t="s">
        <v>311</v>
      </c>
      <c r="J31" s="11" t="s">
        <v>312</v>
      </c>
      <c r="K31" s="11" t="s">
        <v>313</v>
      </c>
      <c r="L31" s="11" t="s">
        <v>314</v>
      </c>
      <c r="M31" s="10" t="str">
        <f aca="false">IF(C31="","",IF(C31&gt;=2021,"Sí","No"))</f>
        <v>No</v>
      </c>
      <c r="N31" s="11" t="s">
        <v>315</v>
      </c>
      <c r="O31" s="11" t="s">
        <v>316</v>
      </c>
    </row>
    <row r="32" customFormat="false" ht="57.75" hidden="false" customHeight="true" outlineLevel="0" collapsed="false">
      <c r="A32" s="8" t="n">
        <v>31</v>
      </c>
      <c r="B32" s="9" t="s">
        <v>317</v>
      </c>
      <c r="C32" s="8" t="n">
        <v>2007</v>
      </c>
      <c r="D32" s="9" t="s">
        <v>318</v>
      </c>
      <c r="E32" s="9" t="s">
        <v>111</v>
      </c>
      <c r="F32" s="9" t="s">
        <v>51</v>
      </c>
      <c r="G32" s="9" t="s">
        <v>319</v>
      </c>
      <c r="H32" s="9" t="s">
        <v>83</v>
      </c>
      <c r="I32" s="9" t="s">
        <v>320</v>
      </c>
      <c r="J32" s="9" t="s">
        <v>150</v>
      </c>
      <c r="K32" s="9" t="s">
        <v>321</v>
      </c>
      <c r="L32" s="9" t="s">
        <v>322</v>
      </c>
      <c r="M32" s="8" t="str">
        <f aca="false">IF(C32="","",IF(C32&gt;=2021,"Sí","No"))</f>
        <v>No</v>
      </c>
      <c r="N32" s="9" t="s">
        <v>323</v>
      </c>
      <c r="O32" s="9" t="s">
        <v>324</v>
      </c>
    </row>
    <row r="33" customFormat="false" ht="57.75" hidden="false" customHeight="true" outlineLevel="0" collapsed="false">
      <c r="A33" s="10" t="n">
        <v>32</v>
      </c>
      <c r="B33" s="11" t="s">
        <v>325</v>
      </c>
      <c r="C33" s="10" t="n">
        <v>2016</v>
      </c>
      <c r="D33" s="11" t="s">
        <v>326</v>
      </c>
      <c r="E33" s="11" t="s">
        <v>39</v>
      </c>
      <c r="F33" s="11" t="s">
        <v>51</v>
      </c>
      <c r="G33" s="11" t="s">
        <v>327</v>
      </c>
      <c r="H33" s="11" t="s">
        <v>73</v>
      </c>
      <c r="I33" s="11" t="s">
        <v>328</v>
      </c>
      <c r="J33" s="11" t="s">
        <v>329</v>
      </c>
      <c r="K33" s="11" t="s">
        <v>330</v>
      </c>
      <c r="L33" s="11" t="s">
        <v>331</v>
      </c>
      <c r="M33" s="10" t="str">
        <f aca="false">IF(C33="","",IF(C33&gt;=2021,"Sí","No"))</f>
        <v>No</v>
      </c>
      <c r="N33" s="11" t="s">
        <v>332</v>
      </c>
      <c r="O33" s="11" t="s">
        <v>333</v>
      </c>
    </row>
    <row r="34" customFormat="false" ht="57.75" hidden="false" customHeight="true" outlineLevel="0" collapsed="false">
      <c r="A34" s="8" t="n">
        <v>33</v>
      </c>
      <c r="B34" s="9" t="s">
        <v>334</v>
      </c>
      <c r="C34" s="8" t="n">
        <v>2019</v>
      </c>
      <c r="D34" s="9" t="s">
        <v>335</v>
      </c>
      <c r="E34" s="9" t="s">
        <v>111</v>
      </c>
      <c r="F34" s="9" t="s">
        <v>40</v>
      </c>
      <c r="G34" s="9" t="s">
        <v>336</v>
      </c>
      <c r="H34" s="9" t="s">
        <v>83</v>
      </c>
      <c r="I34" s="9" t="s">
        <v>337</v>
      </c>
      <c r="J34" s="9" t="s">
        <v>338</v>
      </c>
      <c r="K34" s="9" t="s">
        <v>339</v>
      </c>
      <c r="L34" s="9" t="s">
        <v>340</v>
      </c>
      <c r="M34" s="8" t="str">
        <f aca="false">IF(C34="","",IF(C34&gt;=2021,"Sí","No"))</f>
        <v>No</v>
      </c>
      <c r="N34" s="9" t="s">
        <v>341</v>
      </c>
      <c r="O34" s="9" t="s">
        <v>342</v>
      </c>
    </row>
    <row r="35" customFormat="false" ht="57.75" hidden="false" customHeight="true" outlineLevel="0" collapsed="false">
      <c r="A35" s="10" t="n">
        <v>34</v>
      </c>
      <c r="B35" s="11" t="s">
        <v>343</v>
      </c>
      <c r="C35" s="10" t="n">
        <v>2011</v>
      </c>
      <c r="D35" s="11" t="s">
        <v>344</v>
      </c>
      <c r="E35" s="11" t="s">
        <v>101</v>
      </c>
      <c r="F35" s="11" t="s">
        <v>102</v>
      </c>
      <c r="G35" s="11" t="s">
        <v>345</v>
      </c>
      <c r="H35" s="11" t="s">
        <v>53</v>
      </c>
      <c r="I35" s="11" t="s">
        <v>346</v>
      </c>
      <c r="J35" s="11" t="s">
        <v>347</v>
      </c>
      <c r="K35" s="11" t="s">
        <v>348</v>
      </c>
      <c r="L35" s="11" t="s">
        <v>349</v>
      </c>
      <c r="M35" s="10" t="str">
        <f aca="false">IF(C35="","",IF(C35&gt;=2021,"Sí","No"))</f>
        <v>No</v>
      </c>
      <c r="N35" s="11" t="s">
        <v>350</v>
      </c>
      <c r="O35" s="11" t="s">
        <v>191</v>
      </c>
    </row>
    <row r="36" customFormat="false" ht="57.75" hidden="false" customHeight="true" outlineLevel="0" collapsed="false">
      <c r="A36" s="8" t="n">
        <v>35</v>
      </c>
      <c r="B36" s="9" t="s">
        <v>351</v>
      </c>
      <c r="C36" s="8" t="n">
        <v>2021</v>
      </c>
      <c r="D36" s="9" t="s">
        <v>352</v>
      </c>
      <c r="E36" s="9" t="s">
        <v>39</v>
      </c>
      <c r="F36" s="9" t="s">
        <v>40</v>
      </c>
      <c r="G36" s="9" t="s">
        <v>353</v>
      </c>
      <c r="H36" s="9" t="s">
        <v>176</v>
      </c>
      <c r="I36" s="9" t="s">
        <v>354</v>
      </c>
      <c r="J36" s="9" t="s">
        <v>258</v>
      </c>
      <c r="K36" s="9" t="s">
        <v>355</v>
      </c>
      <c r="L36" s="9" t="s">
        <v>356</v>
      </c>
      <c r="M36" s="8" t="str">
        <f aca="false">IF(C36="","",IF(C36&gt;=2021,"Sí","No"))</f>
        <v>Sí</v>
      </c>
      <c r="N36" s="9" t="s">
        <v>357</v>
      </c>
      <c r="O36" s="9" t="s">
        <v>358</v>
      </c>
    </row>
    <row r="37" customFormat="false" ht="57.75" hidden="false" customHeight="true" outlineLevel="0" collapsed="false">
      <c r="A37" s="10" t="n">
        <v>36</v>
      </c>
      <c r="B37" s="11" t="s">
        <v>359</v>
      </c>
      <c r="C37" s="10" t="n">
        <v>2008</v>
      </c>
      <c r="D37" s="11" t="s">
        <v>360</v>
      </c>
      <c r="E37" s="11" t="s">
        <v>39</v>
      </c>
      <c r="F37" s="11" t="s">
        <v>51</v>
      </c>
      <c r="G37" s="11" t="s">
        <v>361</v>
      </c>
      <c r="H37" s="11" t="s">
        <v>83</v>
      </c>
      <c r="I37" s="11" t="s">
        <v>362</v>
      </c>
      <c r="J37" s="11" t="s">
        <v>363</v>
      </c>
      <c r="K37" s="11" t="s">
        <v>364</v>
      </c>
      <c r="L37" s="11" t="s">
        <v>365</v>
      </c>
      <c r="M37" s="10" t="str">
        <f aca="false">IF(C37="","",IF(C37&gt;=2021,"Sí","No"))</f>
        <v>No</v>
      </c>
      <c r="N37" s="11" t="s">
        <v>366</v>
      </c>
      <c r="O37" s="11" t="s">
        <v>367</v>
      </c>
    </row>
    <row r="38" customFormat="false" ht="39.75" hidden="false" customHeight="true" outlineLevel="0" collapsed="false">
      <c r="A38" s="12" t="n">
        <v>37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2" t="str">
        <f aca="false">IF(C38="","",IF(C38&gt;=2021,"Sí","No"))</f>
        <v/>
      </c>
      <c r="N38" s="13"/>
      <c r="O38" s="13"/>
    </row>
    <row r="39" customFormat="false" ht="39.75" hidden="false" customHeight="true" outlineLevel="0" collapsed="false">
      <c r="A39" s="12" t="n">
        <v>38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2" t="str">
        <f aca="false">IF(C39="","",IF(C39&gt;=2021,"Sí","No"))</f>
        <v/>
      </c>
      <c r="N39" s="13"/>
      <c r="O39" s="13"/>
    </row>
    <row r="40" customFormat="false" ht="39.75" hidden="false" customHeight="true" outlineLevel="0" collapsed="false">
      <c r="A40" s="12" t="n">
        <v>39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2" t="str">
        <f aca="false">IF(C40="","",IF(C40&gt;=2021,"Sí","No"))</f>
        <v/>
      </c>
      <c r="N40" s="13"/>
      <c r="O40" s="13"/>
    </row>
    <row r="41" customFormat="false" ht="39.75" hidden="false" customHeight="true" outlineLevel="0" collapsed="false">
      <c r="A41" s="12" t="n">
        <v>40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2" t="str">
        <f aca="false">IF(C41="","",IF(C41&gt;=2021,"Sí","No"))</f>
        <v/>
      </c>
      <c r="N41" s="13"/>
      <c r="O41" s="13"/>
    </row>
    <row r="42" customFormat="false" ht="39.75" hidden="false" customHeight="true" outlineLevel="0" collapsed="false">
      <c r="A42" s="12" t="n">
        <v>41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2" t="str">
        <f aca="false">IF(C42="","",IF(C42&gt;=2021,"Sí","No"))</f>
        <v/>
      </c>
      <c r="N42" s="13"/>
      <c r="O42" s="13"/>
    </row>
    <row r="43" customFormat="false" ht="39.75" hidden="false" customHeight="true" outlineLevel="0" collapsed="false">
      <c r="A43" s="12" t="n">
        <v>42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2" t="str">
        <f aca="false">IF(C43="","",IF(C43&gt;=2021,"Sí","No"))</f>
        <v/>
      </c>
      <c r="N43" s="13"/>
      <c r="O43" s="13"/>
    </row>
    <row r="44" customFormat="false" ht="39.75" hidden="false" customHeight="true" outlineLevel="0" collapsed="false">
      <c r="A44" s="12" t="n">
        <v>43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2" t="str">
        <f aca="false">IF(C44="","",IF(C44&gt;=2021,"Sí","No"))</f>
        <v/>
      </c>
      <c r="N44" s="13"/>
      <c r="O44" s="13"/>
    </row>
    <row r="45" customFormat="false" ht="39.75" hidden="false" customHeight="true" outlineLevel="0" collapsed="false">
      <c r="A45" s="12" t="n">
        <v>44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2" t="str">
        <f aca="false">IF(C45="","",IF(C45&gt;=2021,"Sí","No"))</f>
        <v/>
      </c>
      <c r="N45" s="13"/>
      <c r="O45" s="13"/>
    </row>
    <row r="46" customFormat="false" ht="39.75" hidden="false" customHeight="true" outlineLevel="0" collapsed="false">
      <c r="A46" s="12" t="n">
        <v>45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2" t="str">
        <f aca="false">IF(C46="","",IF(C46&gt;=2021,"Sí","No"))</f>
        <v/>
      </c>
      <c r="N46" s="13"/>
      <c r="O46" s="13"/>
    </row>
    <row r="47" customFormat="false" ht="39.75" hidden="false" customHeight="true" outlineLevel="0" collapsed="false">
      <c r="A47" s="12" t="n">
        <v>46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2" t="str">
        <f aca="false">IF(C47="","",IF(C47&gt;=2021,"Sí","No"))</f>
        <v/>
      </c>
      <c r="N47" s="13"/>
      <c r="O47" s="13"/>
    </row>
    <row r="48" customFormat="false" ht="39.75" hidden="false" customHeight="true" outlineLevel="0" collapsed="false">
      <c r="A48" s="12" t="n">
        <v>47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2" t="str">
        <f aca="false">IF(C48="","",IF(C48&gt;=2021,"Sí","No"))</f>
        <v/>
      </c>
      <c r="N48" s="13"/>
      <c r="O48" s="13"/>
    </row>
    <row r="49" customFormat="false" ht="39.75" hidden="false" customHeight="true" outlineLevel="0" collapsed="false">
      <c r="A49" s="12" t="n">
        <v>48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2" t="str">
        <f aca="false">IF(C49="","",IF(C49&gt;=2021,"Sí","No"))</f>
        <v/>
      </c>
      <c r="N49" s="13"/>
      <c r="O49" s="13"/>
    </row>
    <row r="50" customFormat="false" ht="39.75" hidden="false" customHeight="true" outlineLevel="0" collapsed="false">
      <c r="A50" s="12" t="n">
        <v>49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2" t="str">
        <f aca="false">IF(C50="","",IF(C50&gt;=2021,"Sí","No"))</f>
        <v/>
      </c>
      <c r="N50" s="13"/>
      <c r="O50" s="13"/>
    </row>
    <row r="51" customFormat="false" ht="39.75" hidden="false" customHeight="true" outlineLevel="0" collapsed="false">
      <c r="A51" s="12" t="n">
        <v>50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2" t="str">
        <f aca="false">IF(C51="","",IF(C51&gt;=2021,"Sí","No"))</f>
        <v/>
      </c>
      <c r="N51" s="13"/>
      <c r="O51" s="13"/>
    </row>
    <row r="52" customFormat="false" ht="39.75" hidden="false" customHeight="true" outlineLevel="0" collapsed="false">
      <c r="A52" s="12" t="n">
        <v>51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2" t="str">
        <f aca="false">IF(C52="","",IF(C52&gt;=2021,"Sí","No"))</f>
        <v/>
      </c>
      <c r="N52" s="13"/>
      <c r="O52" s="13"/>
    </row>
    <row r="53" customFormat="false" ht="39.75" hidden="false" customHeight="true" outlineLevel="0" collapsed="false">
      <c r="A53" s="12" t="n">
        <v>52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2" t="str">
        <f aca="false">IF(C53="","",IF(C53&gt;=2021,"Sí","No"))</f>
        <v/>
      </c>
      <c r="N53" s="13"/>
      <c r="O53" s="13"/>
    </row>
  </sheetData>
  <autoFilter ref="A1:O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2"/>
  </cols>
  <sheetData>
    <row r="2" customFormat="false" ht="17.35" hidden="false" customHeight="false" outlineLevel="0" collapsed="false">
      <c r="B2" s="1" t="s">
        <v>368</v>
      </c>
    </row>
    <row r="4" customFormat="false" ht="15" hidden="false" customHeight="false" outlineLevel="0" collapsed="false">
      <c r="B4" s="14" t="s">
        <v>369</v>
      </c>
      <c r="C4" s="15" t="n">
        <f aca="false">COUNT('Matriz de artículos'!$C$2:$C$53)</f>
        <v>36</v>
      </c>
    </row>
    <row r="5" customFormat="false" ht="15" hidden="false" customHeight="false" outlineLevel="0" collapsed="false">
      <c r="B5" s="14" t="s">
        <v>370</v>
      </c>
      <c r="C5" s="15" t="n">
        <f aca="false">COUNTIF('Matriz de artículos'!$M$2:$M$53,"Sí")</f>
        <v>8</v>
      </c>
    </row>
    <row r="6" customFormat="false" ht="15" hidden="false" customHeight="false" outlineLevel="0" collapsed="false">
      <c r="B6" s="14" t="s">
        <v>371</v>
      </c>
      <c r="C6" s="16" t="n">
        <f aca="false">IF(C4=0,0,C5/C4)</f>
        <v>0.222222222222222</v>
      </c>
    </row>
    <row r="7" customFormat="false" ht="15" hidden="false" customHeight="false" outlineLevel="0" collapsed="false">
      <c r="B7" s="17" t="s">
        <v>372</v>
      </c>
      <c r="C7" s="15" t="str">
        <f aca="false">IF(C4&gt;=50,"✔ Cumple","✘ Faltan "&amp;(50-C4))</f>
        <v>✘ Faltan 14</v>
      </c>
    </row>
    <row r="8" customFormat="false" ht="15" hidden="false" customHeight="false" outlineLevel="0" collapsed="false">
      <c r="B8" s="17" t="s">
        <v>373</v>
      </c>
      <c r="C8" s="15" t="str">
        <f aca="false">IF(C6&gt;=0.6,"✔ Cumple","✘ Aún no")</f>
        <v>✘ Aún no</v>
      </c>
    </row>
    <row r="11" customFormat="false" ht="15" hidden="false" customHeight="true" outlineLevel="0" collapsed="false">
      <c r="B11" s="18" t="s">
        <v>374</v>
      </c>
      <c r="C11" s="18"/>
    </row>
    <row r="12" customFormat="false" ht="15" hidden="false" customHeight="false" outlineLevel="0" collapsed="false">
      <c r="B12" s="18"/>
      <c r="C12" s="18"/>
    </row>
    <row r="13" customFormat="false" ht="15" hidden="false" customHeight="false" outlineLevel="0" collapsed="false">
      <c r="B13" s="18"/>
      <c r="C13" s="18"/>
    </row>
  </sheetData>
  <mergeCells count="1">
    <mergeCell ref="B11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2026-10-17T15:29:59Z</dcterms:created>
  <dc:creator>openpyxl</dc:creator>
  <dc:description/>
  <dc:language>en-US</dc:language>
  <cp:lastModifiedBy/>
  <dcterms:modified xsi:type="dcterms:W3CDTF">2026-10-17T15:29:59Z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