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atriz de artículos" sheetId="2" state="visible" r:id="rId4"/>
    <sheet name="Resumen de control" sheetId="3" state="visible" r:id="rId5"/>
    <sheet name="SciELO (excluidos)" sheetId="4" state="visible" r:id="rId6"/>
  </sheets>
  <definedNames>
    <definedName function="false" hidden="true" localSheetId="1" name="_xlnm._FilterDatabase" vbProcedure="false">'Matriz de artículos'!$A$1:$O$92</definedName>
    <definedName function="false" hidden="true" localSheetId="3" name="_xlnm._FilterDatabase" vbProcedure="false">'SciELO (excluidos)'!$A$4:$I$19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<sst xmlns="http://schemas.openxmlformats.org/spreadsheetml/2006/main" count="1196" uniqueCount="880">
  <si>
    <t xml:space="preserve">Matriz de consolidación de artículos — Revisión de literatura</t>
  </si>
  <si>
    <t xml:space="preserve">Subtema 11: Sostenibilidad, Economía Circular y ESG en la manufactura moderna</t>
  </si>
  <si>
    <t xml:space="preserve">¿Qué es este archivo?</t>
  </si>
  <si>
    <t xml:space="preserve">Es la consolidación en Excel que pide la rúbrica: cada artículo revisado con su aporte. Ya viene cargado con las 36 fuentes usadas en el artículo. Debes completarlo con tu propia búsqueda.</t>
  </si>
  <si>
    <t xml:space="preserve">Cómo usarlo</t>
  </si>
  <si>
    <t xml:space="preserve">1.</t>
  </si>
  <si>
    <t xml:space="preserve">Ve a la hoja 'Matriz de artículos'. Las filas 2 a 87 ya están llenas con las 86 referencias de la revisión: fuentes de marco conceptual, referencias recientes verificadas y los 28 estudios de tu búsqueda sistemática en Scopus.</t>
  </si>
  <si>
    <t xml:space="preserve">2.</t>
  </si>
  <si>
    <t xml:space="preserve">Si quieres añadir más artículos, hazlo en las filas vacías resaltadas en amarillo (de la 88 a la 92). La búsqueda en SciELO ya está documentada en la hoja 'SciELO (excluidos)'; si encuentras allí algún artículo realmente pertinente, agrégalo también con base = SciELO.</t>
  </si>
  <si>
    <t xml:space="preserve">3.</t>
  </si>
  <si>
    <t xml:space="preserve">Completa TODAS las columnas: base de datos, eje temático, metodología, hallazgos y, sobre todo, el APORTE de cada uno.</t>
  </si>
  <si>
    <t xml:space="preserve">4.</t>
  </si>
  <si>
    <t xml:space="preserve">Verifica cada referencia en su fuente original (DOI, volumen, páginas) antes de darla por válida.</t>
  </si>
  <si>
    <t xml:space="preserve">5.</t>
  </si>
  <si>
    <t xml:space="preserve">Revisa la hoja 'Resumen de control': calcula sola el total y el % de fuentes de los últimos 5 años.</t>
  </si>
  <si>
    <t xml:space="preserve">Metas de la rúbrica</t>
  </si>
  <si>
    <t xml:space="preserve">•</t>
  </si>
  <si>
    <t xml:space="preserve">Mínimo 50 referencias.</t>
  </si>
  <si>
    <t xml:space="preserve">Al menos 60% publicadas en los últimos cinco años (2021–2026).</t>
  </si>
  <si>
    <t xml:space="preserve">Solo bases reconocidas (Science Direct, ProQuest, Emerald, Scimago, Scopus, Redalyc, SciELO, WoS). NO blogs ni reportes comerciales.</t>
  </si>
  <si>
    <t xml:space="preserve">Trazabilidad PRISMA (tu búsqueda real)</t>
  </si>
  <si>
    <t xml:space="preserve">Búsqueda en Scopus + SciELO. Identificados: 43 (Scopus = 28; SciELO = 15). Duplicados: 0. Excluidos en cribado: 15 (todos de SciELO, por tratar temas ajenos a manufactura/economía circular). Incluidos: 28 (los de Scopus, cargados abajo). Guarda tus exportaciones .bib/.ris como evidencia.</t>
  </si>
  <si>
    <t xml:space="preserve">Nota importante</t>
  </si>
  <si>
    <t xml:space="preserve">La rúbrica menciona un 'modelo compartido' por el curso. Si tu grupo tiene esa plantilla oficial, copia estas columnas a ese archivo para respetar su formato. Esta matriz cubre los campos estándar de una revisión tipo PRISMA.</t>
  </si>
  <si>
    <t xml:space="preserve">N°</t>
  </si>
  <si>
    <t xml:space="preserve">Autor(es)</t>
  </si>
  <si>
    <t xml:space="preserve">Año</t>
  </si>
  <si>
    <t xml:space="preserve">Título</t>
  </si>
  <si>
    <t xml:space="preserve">Tipo de documento</t>
  </si>
  <si>
    <t xml:space="preserve">Base de datos</t>
  </si>
  <si>
    <t xml:space="preserve">Revista / Editorial</t>
  </si>
  <si>
    <t xml:space="preserve">Eje temático</t>
  </si>
  <si>
    <t xml:space="preserve">Objetivo / Enfoque</t>
  </si>
  <si>
    <t xml:space="preserve">Metodología</t>
  </si>
  <si>
    <t xml:space="preserve">Hallazgos principales</t>
  </si>
  <si>
    <t xml:space="preserve">Aporte específico</t>
  </si>
  <si>
    <t xml:space="preserve">¿Últimos 5 años?</t>
  </si>
  <si>
    <t xml:space="preserve">Cita APA 7</t>
  </si>
  <si>
    <t xml:space="preserve">DOI / Enlace</t>
  </si>
  <si>
    <t xml:space="preserve">Adisorn, T., Tholen, L., &amp; Götz, T.</t>
  </si>
  <si>
    <t xml:space="preserve">Towards a digital product passport fit for contributing to a circular economy</t>
  </si>
  <si>
    <t xml:space="preserve">Artículo</t>
  </si>
  <si>
    <t xml:space="preserve">Scopus</t>
  </si>
  <si>
    <t xml:space="preserve">Energies, 14(8), 2289</t>
  </si>
  <si>
    <t xml:space="preserve">3. Pasaporte digital de producto / trazabilidad</t>
  </si>
  <si>
    <t xml:space="preserve">Conceptualizar el pasaporte digital de producto (DPP) como instrumento de información para la economía circular.</t>
  </si>
  <si>
    <t xml:space="preserve">Análisis conceptual y de políticas.</t>
  </si>
  <si>
    <t xml:space="preserve">El valor del DPP depende de qué datos incluye y de cómo se gobiernan, no del documento en sí.</t>
  </si>
  <si>
    <t xml:space="preserve">Define los requisitos de un DPP útil; base conceptual del eje 3.</t>
  </si>
  <si>
    <t xml:space="preserve">Adisorn, T., Tholen, L., &amp; Götz, T. (2021). Towards a digital product passport fit for contributing to a circular economy. Energies, 14(8), 2289. https://doi.org/10.3390/en14082289</t>
  </si>
  <si>
    <t xml:space="preserve">https://doi.org/10.3390/en14082289</t>
  </si>
  <si>
    <t xml:space="preserve">Bai, C., Dallasega, P., Orzes, G., &amp; Sarkis, J.</t>
  </si>
  <si>
    <t xml:space="preserve">Industry 4.0 technologies assessment: A sustainability perspective</t>
  </si>
  <si>
    <t xml:space="preserve">Int. J. of Production Economics, 229, 107776</t>
  </si>
  <si>
    <t xml:space="preserve">4. Contabilidad de carbono / descarbonización</t>
  </si>
  <si>
    <t xml:space="preserve">Evaluar tecnologías de la Industria 4.0 según su contribución a la sostenibilidad.</t>
  </si>
  <si>
    <t xml:space="preserve">Marco de evaluación multicriterio (hesitant fuzzy sets).</t>
  </si>
  <si>
    <t xml:space="preserve">El impacto sostenible de las tecnologías es desigual y depende del contexto de aplicación.</t>
  </si>
  <si>
    <t xml:space="preserve">Aporta una lectura crítica del vínculo digitalización–sostenibilidad.</t>
  </si>
  <si>
    <t xml:space="preserve">Bai, C., Dallasega, P., Orzes, G., &amp; Sarkis, J. (2020). Industry 4.0 technologies assessment: A sustainability perspective. Int. J. of Production Economics, 229, 107776. https://doi.org/10.1016/j.ijpe.2020.107776</t>
  </si>
  <si>
    <t xml:space="preserve">https://doi.org/10.1016/j.ijpe.2020.107776</t>
  </si>
  <si>
    <t xml:space="preserve">Berg, F., Koelbel, J. F., &amp; Rigobon, R.</t>
  </si>
  <si>
    <t xml:space="preserve">Aggregate confusion: The divergence of ESG ratings</t>
  </si>
  <si>
    <t xml:space="preserve">Review of Finance, 26(6), 1315–1344</t>
  </si>
  <si>
    <t xml:space="preserve">5. Métricas ESG</t>
  </si>
  <si>
    <t xml:space="preserve">Explicar por qué las calificaciones ESG divergen entre agencias.</t>
  </si>
  <si>
    <t xml:space="preserve">Análisis cuantitativo de datos de seis agencias de rating.</t>
  </si>
  <si>
    <t xml:space="preserve">La divergencia proviene de medición, alcance y ponderación; erosiona la comparabilidad.</t>
  </si>
  <si>
    <t xml:space="preserve">Fundamenta el vacío de verificación y el riesgo de greenwashing.</t>
  </si>
  <si>
    <t xml:space="preserve">Berg, F., Koelbel, J. F., &amp; Rigobon, R. (2022). Aggregate confusion: The divergence of ESG ratings. Review of Finance, 26(6), 1315–1344. https://doi.org/10.1093/rof/rfac033</t>
  </si>
  <si>
    <t xml:space="preserve">https://doi.org/10.1093/rof/rfac033</t>
  </si>
  <si>
    <t xml:space="preserve">Bocken, N. M. P., de Pauw, I., Bakker, C., &amp; van der Grinten, B.</t>
  </si>
  <si>
    <t xml:space="preserve">Product design and business model strategies for a circular economy</t>
  </si>
  <si>
    <t xml:space="preserve">J. of Industrial and Production Engineering, 33(5), 308–320</t>
  </si>
  <si>
    <t xml:space="preserve">1. Economía circular</t>
  </si>
  <si>
    <t xml:space="preserve">Proponer estrategias de diseño y modelo de negocio para cerrar y ralentizar ciclos.</t>
  </si>
  <si>
    <t xml:space="preserve">Desarrollo de marco conceptual (estrechar, ralentizar, cerrar ciclos).</t>
  </si>
  <si>
    <t xml:space="preserve">El diseño de producto es palanca clave de la circularidad, no solo el reciclaje.</t>
  </si>
  <si>
    <t xml:space="preserve">Sustenta la idea de circularidad como rediseño, no como gestión de residuos.</t>
  </si>
  <si>
    <t xml:space="preserve">Bocken, N. M. P., de Pauw, I., Bakker, C., &amp; van der Grinten, B. (2016). Product design and business model strategies for a circular economy. J. of Industrial and Production Engineering, 33(5), 308–320. https://doi.org/10.1080/21681015.2016.1172124</t>
  </si>
  <si>
    <t xml:space="preserve">https://doi.org/10.1080/21681015.2016.1172124</t>
  </si>
  <si>
    <t xml:space="preserve">Carter, C. R., &amp; Rogers, D. S.</t>
  </si>
  <si>
    <t xml:space="preserve">A framework of sustainable supply chain management: Moving toward new theory</t>
  </si>
  <si>
    <t xml:space="preserve">Int. J. of Physical Distribution &amp; Logistics Mgmt, 38(5), 360–387</t>
  </si>
  <si>
    <t xml:space="preserve">2. Cadena de suministro verde/sostenible</t>
  </si>
  <si>
    <t xml:space="preserve">Integrar las dimensiones ambiental, social y económica en la cadena de suministro.</t>
  </si>
  <si>
    <t xml:space="preserve">Revisión de literatura y construcción teórica.</t>
  </si>
  <si>
    <t xml:space="preserve">La sostenibilidad en la cadena requiere equilibrar las tres dimensiones (triple bottom line).</t>
  </si>
  <si>
    <t xml:space="preserve">Marco base de la cadena de suministro sostenible (eje 2).</t>
  </si>
  <si>
    <t xml:space="preserve">Carter, C. R., &amp; Rogers, D. S. (2008). A framework of sustainable supply chain management: Moving toward new theory. Int. J. of Physical Distribution &amp; Logistics Mgmt, 38(5), 360–387. https://doi.org/10.1108/09600030810882816</t>
  </si>
  <si>
    <t xml:space="preserve">https://doi.org/10.1108/09600030810882816</t>
  </si>
  <si>
    <t xml:space="preserve">Ellen MacArthur Foundation</t>
  </si>
  <si>
    <t xml:space="preserve">Towards the circular economy: Economic and business rationale for an accelerated transition</t>
  </si>
  <si>
    <t xml:space="preserve">Informe</t>
  </si>
  <si>
    <t xml:space="preserve">Otra (institucional)</t>
  </si>
  <si>
    <t xml:space="preserve">Argumentar la lógica económica y empresarial de la economía circular.</t>
  </si>
  <si>
    <t xml:space="preserve">Informe con modelado económico y casos.</t>
  </si>
  <si>
    <t xml:space="preserve">La transición circular genera valor económico además de ambiental.</t>
  </si>
  <si>
    <t xml:space="preserve">Referencia fundacional del marco de economía circular.</t>
  </si>
  <si>
    <t xml:space="preserve">Ellen MacArthur Foundation (2013). Towards the circular economy: Economic and business rationale for an accelerated transition. Ellen MacArthur Foundation. https://www.ellenmacarthurfoundation.org</t>
  </si>
  <si>
    <t xml:space="preserve">https://www.ellenmacarthurfoundation.org</t>
  </si>
  <si>
    <t xml:space="preserve">Friede, G., Busch, T., &amp; Bassen, A.</t>
  </si>
  <si>
    <t xml:space="preserve">ESG and financial performance: Aggregated evidence from more than 2000 empirical studies</t>
  </si>
  <si>
    <t xml:space="preserve">Revisión</t>
  </si>
  <si>
    <t xml:space="preserve">J. of Sustainable Finance &amp; Investment, 5(4), 210–233</t>
  </si>
  <si>
    <t xml:space="preserve">Sintetizar la relación entre desempeño ESG y desempeño financiero.</t>
  </si>
  <si>
    <t xml:space="preserve">Metarrevisión de más de 2.000 estudios empíricos.</t>
  </si>
  <si>
    <t xml:space="preserve">La relación es mayoritariamente positiva o neutra, rara vez negativa.</t>
  </si>
  <si>
    <t xml:space="preserve">Respaldo cuantitativo central del eje ESG.</t>
  </si>
  <si>
    <t xml:space="preserve">Friede, G., Busch, T., &amp; Bassen, A. (2015). ESG and financial performance: Aggregated evidence from more than 2000 empirical studies. J. of Sustainable Finance &amp; Investment, 5(4), 210–233. https://doi.org/10.1080/20430795.2015.1118917</t>
  </si>
  <si>
    <t xml:space="preserve">https://doi.org/10.1080/20430795.2015.1118917</t>
  </si>
  <si>
    <t xml:space="preserve">Geissdoerfer, M., Savaget, P., Bocken, N. M. P., &amp; Hultink, E. J.</t>
  </si>
  <si>
    <t xml:space="preserve">The circular economy – A new sustainability paradigm?</t>
  </si>
  <si>
    <t xml:space="preserve">J. of Cleaner Production, 143, 757–768</t>
  </si>
  <si>
    <t xml:space="preserve">Clarificar la relación entre economía circular y sostenibilidad.</t>
  </si>
  <si>
    <t xml:space="preserve">Revisión sistemática y análisis bibliométrico.</t>
  </si>
  <si>
    <t xml:space="preserve">La circularidad es un medio para la sostenibilidad, no un sinónimo.</t>
  </si>
  <si>
    <t xml:space="preserve">Delimita el marco conceptual base del artículo.</t>
  </si>
  <si>
    <t xml:space="preserve">Geissdoerfer, M., Savaget, P., Bocken, N. M. P., &amp; Hultink, E. J. (2017). The circular economy – A new sustainability paradigm?. J. of Cleaner Production, 143, 757–768. https://doi.org/10.1016/j.jclepro.2016.12.048</t>
  </si>
  <si>
    <t xml:space="preserve">https://doi.org/10.1016/j.jclepro.2016.12.048</t>
  </si>
  <si>
    <t xml:space="preserve">Ghobakhloo, M.</t>
  </si>
  <si>
    <t xml:space="preserve">Industry 4.0, digitization, and opportunities for sustainability</t>
  </si>
  <si>
    <t xml:space="preserve">J. of Cleaner Production, 252, 119869</t>
  </si>
  <si>
    <t xml:space="preserve">Identificar cómo la Industria 4.0 habilita funciones de sostenibilidad.</t>
  </si>
  <si>
    <t xml:space="preserve">Revisión de contenido y análisis interpretativo.</t>
  </si>
  <si>
    <t xml:space="preserve">La digitalización ofrece 11 funciones de sostenibilidad, con efectos condicionados.</t>
  </si>
  <si>
    <t xml:space="preserve">Conecta descarbonización y tecnologías digitales.</t>
  </si>
  <si>
    <t xml:space="preserve">Ghobakhloo, M. (2020). Industry 4.0, digitization, and opportunities for sustainability. J. of Cleaner Production, 252, 119869. https://doi.org/10.1016/j.jclepro.2019.119869</t>
  </si>
  <si>
    <t xml:space="preserve">https://doi.org/10.1016/j.jclepro.2019.119869</t>
  </si>
  <si>
    <t xml:space="preserve">Gillan, S. L., Koch, A., &amp; Starks, L. T.</t>
  </si>
  <si>
    <t xml:space="preserve">Firms and social responsibility: A review of ESG and CSR research in corporate finance</t>
  </si>
  <si>
    <t xml:space="preserve">J. of Corporate Finance, 66, 101889</t>
  </si>
  <si>
    <t xml:space="preserve">Revisar la investigación sobre ESG y RSE en finanzas corporativas.</t>
  </si>
  <si>
    <t xml:space="preserve">Revisión de literatura.</t>
  </si>
  <si>
    <t xml:space="preserve">El campo ESG está fragmentado y con problemas de medición y causalidad.</t>
  </si>
  <si>
    <t xml:space="preserve">Mapea el estado del arte del eje ESG.</t>
  </si>
  <si>
    <t xml:space="preserve">Gillan, S. L., Koch, A., &amp; Starks, L. T. (2021). Firms and social responsibility: A review of ESG and CSR research in corporate finance. J. of Corporate Finance, 66, 101889. https://doi.org/10.1016/j.jcorpfin.2021.101889</t>
  </si>
  <si>
    <t xml:space="preserve">https://doi.org/10.1016/j.jcorpfin.2021.101889</t>
  </si>
  <si>
    <t xml:space="preserve">Govindan, K., Soleimani, H., &amp; Kannan, D.</t>
  </si>
  <si>
    <t xml:space="preserve">Reverse logistics and closed-loop supply chain: A comprehensive review to explore the future</t>
  </si>
  <si>
    <t xml:space="preserve">European J. of Operational Research, 240(3), 603–626</t>
  </si>
  <si>
    <t xml:space="preserve">Revisar la logística inversa y los circuitos cerrados de suministro.</t>
  </si>
  <si>
    <t xml:space="preserve">Revisión sistemática de literatura.</t>
  </si>
  <si>
    <t xml:space="preserve">La recuperación de producto conecta el fin de vida con nuevos ciclos productivos.</t>
  </si>
  <si>
    <t xml:space="preserve">Vincula cadena verde y circularidad (logística inversa).</t>
  </si>
  <si>
    <t xml:space="preserve">Govindan, K., Soleimani, H., &amp; Kannan, D. (2015). Reverse logistics and closed-loop supply chain: A comprehensive review to explore the future. European J. of Operational Research, 240(3), 603–626. https://doi.org/10.1016/j.ejor.2014.07.012</t>
  </si>
  <si>
    <t xml:space="preserve">https://doi.org/10.1016/j.ejor.2014.07.012</t>
  </si>
  <si>
    <t xml:space="preserve">Hertwich, E. G., &amp; Wood, R.</t>
  </si>
  <si>
    <t xml:space="preserve">The growing importance of scope 3 greenhouse gas emissions from industry</t>
  </si>
  <si>
    <t xml:space="preserve">Environmental Research Letters, 13(10), 104013</t>
  </si>
  <si>
    <t xml:space="preserve">Cuantificar la importancia de las emisiones de alcance 3 en la industria.</t>
  </si>
  <si>
    <t xml:space="preserve">Análisis cuantitativo de inventarios de emisiones.</t>
  </si>
  <si>
    <t xml:space="preserve">El alcance 3 concentra la mayor parte del impacto; exige mirar toda la cadena.</t>
  </si>
  <si>
    <t xml:space="preserve">Justifica el foco en cadena extendida y datos de carbono.</t>
  </si>
  <si>
    <t xml:space="preserve">Hertwich, E. G., &amp; Wood, R. (2018). The growing importance of scope 3 greenhouse gas emissions from industry. Environmental Research Letters, 13(10), 104013. https://doi.org/10.1088/1748-9326/aae19a</t>
  </si>
  <si>
    <t xml:space="preserve">https://doi.org/10.1088/1748-9326/aae19a</t>
  </si>
  <si>
    <t xml:space="preserve">Ivanov, D.</t>
  </si>
  <si>
    <t xml:space="preserve">The Industry 5.0 framework: Viability-based integration of the resilience, sustainability and human-centricity perspectives</t>
  </si>
  <si>
    <t xml:space="preserve">Int. J. of Production Research, 61(5), 1683–1695</t>
  </si>
  <si>
    <t xml:space="preserve">Transversal (marco Industria 4.0/5.0)</t>
  </si>
  <si>
    <t xml:space="preserve">Integrar resiliencia, sostenibilidad y centralidad humana en la Industria 5.0.</t>
  </si>
  <si>
    <t xml:space="preserve">Desarrollo de marco conceptual (viabilidad).</t>
  </si>
  <si>
    <t xml:space="preserve">La Industria 5.0 articula los tres pilares bajo la noción de viabilidad.</t>
  </si>
  <si>
    <t xml:space="preserve">Conecta la revisión con los pilares de Industria 5.0.</t>
  </si>
  <si>
    <t xml:space="preserve">Ivanov, D. (2023). The Industry 5.0 framework: Viability-based integration of the resilience, sustainability and human-centricity perspectives. Int. J. of Production Research, 61(5), 1683–1695. https://doi.org/10.1080/00207543.2022.2118892</t>
  </si>
  <si>
    <t xml:space="preserve">https://doi.org/10.1080/00207543.2022.2118892</t>
  </si>
  <si>
    <t xml:space="preserve">Khan, M., Serafeim, G., &amp; Yoon, A.</t>
  </si>
  <si>
    <t xml:space="preserve">Corporate sustainability: First evidence on materiality</t>
  </si>
  <si>
    <t xml:space="preserve">The Accounting Review, 91(6), 1697–1724</t>
  </si>
  <si>
    <t xml:space="preserve">Probar si la materialidad de los temas ESG afecta el desempeño.</t>
  </si>
  <si>
    <t xml:space="preserve">Estudio empírico con datos de materialidad sectorial.</t>
  </si>
  <si>
    <t xml:space="preserve">Solo los temas ESG materiales para el sector predicen mejor desempeño.</t>
  </si>
  <si>
    <t xml:space="preserve">Clave para elegir métricas ESG relevantes en manufactura.</t>
  </si>
  <si>
    <t xml:space="preserve">Khan, M., Serafeim, G., &amp; Yoon, A. (2016). Corporate sustainability: First evidence on materiality. The Accounting Review, 91(6), 1697–1724. https://doi.org/10.2308/accr-51383</t>
  </si>
  <si>
    <t xml:space="preserve">https://doi.org/10.2308/accr-51383</t>
  </si>
  <si>
    <t xml:space="preserve">Kirchherr, J., Reike, D., &amp; Hekkert, M.</t>
  </si>
  <si>
    <t xml:space="preserve">Conceptualizing the circular economy: An analysis of 114 definitions</t>
  </si>
  <si>
    <t xml:space="preserve">Resources, Conservation and Recycling, 127, 221–232</t>
  </si>
  <si>
    <t xml:space="preserve">Analizar la dispersión conceptual de la economía circular.</t>
  </si>
  <si>
    <t xml:space="preserve">Análisis de contenido de 114 definiciones.</t>
  </si>
  <si>
    <t xml:space="preserve">Existe fuerte ambigüedad conceptual; muchas definiciones omiten lo social.</t>
  </si>
  <si>
    <t xml:space="preserve">Justifica delimitar el concepto en el artículo.</t>
  </si>
  <si>
    <t xml:space="preserve">Kirchherr, J., Reike, D., &amp; Hekkert, M. (2017). Conceptualizing the circular economy: An analysis of 114 definitions. Resources, Conservation and Recycling, 127, 221–232. https://doi.org/10.1016/j.resconrec.2017.09.005</t>
  </si>
  <si>
    <t xml:space="preserve">https://doi.org/10.1016/j.resconrec.2017.09.005</t>
  </si>
  <si>
    <t xml:space="preserve">Leng, J., Sha, W., Wang, B., Zheng, P., Zhuang, C., Liu, Q., Wuest, T., Mourtzis, D., &amp; Wang, L.</t>
  </si>
  <si>
    <t xml:space="preserve">Industry 5.0: Prospect and retrospect</t>
  </si>
  <si>
    <t xml:space="preserve">J. of Manufacturing Systems, 65, 279–295</t>
  </si>
  <si>
    <t xml:space="preserve">Revisar el origen y las perspectivas de la Industria 5.0.</t>
  </si>
  <si>
    <t xml:space="preserve">La Industria 5.0 añade propósito (humano y ambiental) a la 4.0.</t>
  </si>
  <si>
    <t xml:space="preserve">Base del marco Industria 5.0 en la discusión.</t>
  </si>
  <si>
    <t xml:space="preserve">Leng, J., Sha, W., Wang, B., Zheng, P., Zhuang, C., Liu, Q., Wuest, T., Mourtzis, D., &amp; Wang, L. (2022). Industry 5.0: Prospect and retrospect. J. of Manufacturing Systems, 65, 279–295. https://doi.org/10.1016/j.jmsy.2022.09.017</t>
  </si>
  <si>
    <t xml:space="preserve">https://doi.org/10.1016/j.jmsy.2022.09.017</t>
  </si>
  <si>
    <t xml:space="preserve">Lieder, M., &amp; Rashid, A.</t>
  </si>
  <si>
    <t xml:space="preserve">Towards circular economy implementation: A comprehensive review in context of manufacturing industry</t>
  </si>
  <si>
    <t xml:space="preserve">J. of Cleaner Production, 115, 36–51</t>
  </si>
  <si>
    <t xml:space="preserve">Revisar la implementación de la economía circular en manufactura.</t>
  </si>
  <si>
    <t xml:space="preserve">La implementación exige alinear lo ambiental, lo de recursos y lo económico.</t>
  </si>
  <si>
    <t xml:space="preserve">Enfoca la circularidad en el contexto industrial.</t>
  </si>
  <si>
    <t xml:space="preserve">Lieder, M., &amp; Rashid, A. (2016). Towards circular economy implementation: A comprehensive review in context of manufacturing industry. J. of Cleaner Production, 115, 36–51. https://doi.org/10.1016/j.jclepro.2015.12.042</t>
  </si>
  <si>
    <t xml:space="preserve">https://doi.org/10.1016/j.jclepro.2015.12.042</t>
  </si>
  <si>
    <t xml:space="preserve">Maddikunta, P. K. R., Pham, Q.-V., Prabadevi, B., Deepa, N., Dev, K., Gadekallu, T. R., Ruby, R., &amp; Liyanage, M.</t>
  </si>
  <si>
    <t xml:space="preserve">Industry 5.0: A survey on enabling technologies and potential applications</t>
  </si>
  <si>
    <t xml:space="preserve">J. of Industrial Information Integration, 26, 100257</t>
  </si>
  <si>
    <t xml:space="preserve">Mapear tecnologías habilitadoras y aplicaciones de la Industria 5.0.</t>
  </si>
  <si>
    <t xml:space="preserve">Survey (revisión amplia).</t>
  </si>
  <si>
    <t xml:space="preserve">Identifica tecnologías clave y aplicaciones centradas en el ser humano.</t>
  </si>
  <si>
    <t xml:space="preserve">Complementa el marco Industria 5.0.</t>
  </si>
  <si>
    <t xml:space="preserve">Maddikunta, P. K. R., Pham, Q.-V., Prabadevi, B., Deepa, N., Dev, K., Gadekallu, T. R., Ruby, R., &amp; Liyanage, M. (2022). Industry 5.0: A survey on enabling technologies and potential applications. J. of Industrial Information Integration, 26, 100257. https://doi.org/10.1016/j.jii.2021.100257</t>
  </si>
  <si>
    <t xml:space="preserve">https://doi.org/10.1016/j.jii.2021.100257</t>
  </si>
  <si>
    <t xml:space="preserve">Moher, D., Liberati, A., Tetzlaff, J., &amp; Altman, D. G.</t>
  </si>
  <si>
    <t xml:space="preserve">Preferred reporting items for systematic reviews and meta-analyses: The PRISMA statement</t>
  </si>
  <si>
    <t xml:space="preserve">PLoS Medicine, 6(7), e1000097</t>
  </si>
  <si>
    <t xml:space="preserve">Método (PRISMA)</t>
  </si>
  <si>
    <t xml:space="preserve">Establecer estándares para reportar revisiones sistemáticas.</t>
  </si>
  <si>
    <t xml:space="preserve">Guía metodológica (declaración PRISMA).</t>
  </si>
  <si>
    <t xml:space="preserve">Define el flujo de identificación, cribado, elegibilidad e inclusión.</t>
  </si>
  <si>
    <t xml:space="preserve">Fundamento del protocolo metodológico del artículo.</t>
  </si>
  <si>
    <t xml:space="preserve">Moher, D., Liberati, A., Tetzlaff, J., &amp; Altman, D. G. (2009). Preferred reporting items for systematic reviews and meta-analyses: The PRISMA statement. PLoS Medicine, 6(7), e1000097. https://doi.org/10.1371/journal.pmed.1000097</t>
  </si>
  <si>
    <t xml:space="preserve">https://doi.org/10.1371/journal.pmed.1000097</t>
  </si>
  <si>
    <t xml:space="preserve">Nahavandi, S.</t>
  </si>
  <si>
    <t xml:space="preserve">Industry 5.0—A human-centric solution</t>
  </si>
  <si>
    <t xml:space="preserve">Sustainability, 11(16), 4371</t>
  </si>
  <si>
    <t xml:space="preserve">Introducir la Industria 5.0 como paradigma centrado en el ser humano.</t>
  </si>
  <si>
    <t xml:space="preserve">Ensayo conceptual.</t>
  </si>
  <si>
    <t xml:space="preserve">La colaboración humano–máquina redefine la manufactura avanzada.</t>
  </si>
  <si>
    <t xml:space="preserve">Sustenta el pilar de centralidad humana.</t>
  </si>
  <si>
    <t xml:space="preserve">Nahavandi, S. (2019). Industry 5.0—A human-centric solution. Sustainability, 11(16), 4371. https://doi.org/10.3390/su11164371</t>
  </si>
  <si>
    <t xml:space="preserve">https://doi.org/10.3390/su11164371</t>
  </si>
  <si>
    <t xml:space="preserve">Nascimento, D. L. M., Alencastro, V., Quelhas, O. L. G., Caiado, R. G. G., Garza-Reyes, J. A., Rocha-Lona, L., &amp; Tortorella, G.</t>
  </si>
  <si>
    <t xml:space="preserve">Exploring Industry 4.0 technologies to enable circular economy practices in a manufacturing context</t>
  </si>
  <si>
    <t xml:space="preserve">J. of Manufacturing Technology Management, 30(3), 607–627</t>
  </si>
  <si>
    <t xml:space="preserve">Analizar cómo las tecnologías I4.0 habilitan prácticas circulares.</t>
  </si>
  <si>
    <t xml:space="preserve">Estudio de caso y propuesta de modelo de negocio.</t>
  </si>
  <si>
    <t xml:space="preserve">La integración de tecnologías digitales habilita manufactura circular.</t>
  </si>
  <si>
    <t xml:space="preserve">Puente entre digitalización, trazabilidad y circularidad.</t>
  </si>
  <si>
    <t xml:space="preserve">Nascimento, D. L. M., Alencastro, V., Quelhas, O. L. G., Caiado, R. G. G., Garza-Reyes, J. A., Rocha-Lona, L., &amp; Tortorella, G. (2019). Exploring Industry 4.0 technologies to enable circular economy practices in a manufacturing context. J. of Manufacturing Technology Management, 30(3), 607–627. https://doi.org/10.1108/JMTM-03-2018-0071</t>
  </si>
  <si>
    <t xml:space="preserve">https://doi.org/10.1108/JMTM-03-2018-0071</t>
  </si>
  <si>
    <t xml:space="preserve">Page, M. J., McKenzie, J. E., Bossuyt, P. M., et al.</t>
  </si>
  <si>
    <t xml:space="preserve">The PRISMA 2020 statement: An updated guideline for reporting systematic reviews</t>
  </si>
  <si>
    <t xml:space="preserve">BMJ, 372, n71</t>
  </si>
  <si>
    <t xml:space="preserve">Actualizar la guía PRISMA para revisiones sistemáticas.</t>
  </si>
  <si>
    <t xml:space="preserve">Guía metodológica (PRISMA 2020).</t>
  </si>
  <si>
    <t xml:space="preserve">Actualiza el diagrama de flujo y los ítems de reporte.</t>
  </si>
  <si>
    <t xml:space="preserve">Protocolo de referencia usado en la metodología.</t>
  </si>
  <si>
    <t xml:space="preserve">Page, M. J., McKenzie, J. E., Bossuyt, P. M., et al. (2021). The PRISMA 2020 statement: An updated guideline for reporting systematic reviews. BMJ, 372, n71. https://doi.org/10.1136/bmj.n71</t>
  </si>
  <si>
    <t xml:space="preserve">https://doi.org/10.1136/bmj.n71</t>
  </si>
  <si>
    <t xml:space="preserve">Rajput, S., &amp; Singh, S. P.</t>
  </si>
  <si>
    <t xml:space="preserve">Connecting circular economy and Industry 4.0</t>
  </si>
  <si>
    <t xml:space="preserve">Int. J. of Information Management, 49, 98–113</t>
  </si>
  <si>
    <t xml:space="preserve">Vincular economía circular e Industria 4.0.</t>
  </si>
  <si>
    <t xml:space="preserve">Modelado y análisis de relaciones.</t>
  </si>
  <si>
    <t xml:space="preserve">Las tecnologías digitales reducen la incertidumbre sobre el estado del producto.</t>
  </si>
  <si>
    <t xml:space="preserve">Apoya el rol de los datos en la circularidad.</t>
  </si>
  <si>
    <t xml:space="preserve">Rajput, S., &amp; Singh, S. P. (2019). Connecting circular economy and Industry 4.0. Int. J. of Information Management, 49, 98–113. https://doi.org/10.1016/j.ijinfomgt.2019.03.002</t>
  </si>
  <si>
    <t xml:space="preserve">https://doi.org/10.1016/j.ijinfomgt.2019.03.002</t>
  </si>
  <si>
    <t xml:space="preserve">Sarkis, J., Zhu, Q., &amp; Lai, K.-H.</t>
  </si>
  <si>
    <t xml:space="preserve">An organizational theoretic review of green supply chain management literature</t>
  </si>
  <si>
    <t xml:space="preserve">Int. J. of Production Economics, 130(1), 1–15</t>
  </si>
  <si>
    <t xml:space="preserve">Revisar la literatura GSCM desde teorías organizacionales.</t>
  </si>
  <si>
    <t xml:space="preserve">Revisión teórica.</t>
  </si>
  <si>
    <t xml:space="preserve">El desempeño verde depende de presiones y capacidades organizacionales.</t>
  </si>
  <si>
    <t xml:space="preserve">Ordena teóricamente el eje de cadena verde.</t>
  </si>
  <si>
    <t xml:space="preserve">Sarkis, J., Zhu, Q., &amp; Lai, K.-H. (2011). An organizational theoretic review of green supply chain management literature. Int. J. of Production Economics, 130(1), 1–15. https://doi.org/10.1016/j.ijpe.2010.11.010</t>
  </si>
  <si>
    <t xml:space="preserve">https://doi.org/10.1016/j.ijpe.2010.11.010</t>
  </si>
  <si>
    <t xml:space="preserve">Seuring, S., &amp; Müller, M.</t>
  </si>
  <si>
    <t xml:space="preserve">From a literature review to a conceptual framework for sustainable supply chain management</t>
  </si>
  <si>
    <t xml:space="preserve">J. of Cleaner Production, 16(15), 1699–1710</t>
  </si>
  <si>
    <t xml:space="preserve">Construir un marco conceptual de cadena de suministro sostenible.</t>
  </si>
  <si>
    <t xml:space="preserve">Revisión de literatura (191 artículos).</t>
  </si>
  <si>
    <t xml:space="preserve">La presión de stakeholders impulsa la gestión sostenible de la cadena.</t>
  </si>
  <si>
    <t xml:space="preserve">Marco fundacional del eje 2.</t>
  </si>
  <si>
    <t xml:space="preserve">Seuring, S., &amp; Müller, M. (2008). From a literature review to a conceptual framework for sustainable supply chain management. J. of Cleaner Production, 16(15), 1699–1710. https://doi.org/10.1016/j.jclepro.2008.04.020</t>
  </si>
  <si>
    <t xml:space="preserve">https://doi.org/10.1016/j.jclepro.2008.04.020</t>
  </si>
  <si>
    <t xml:space="preserve">Srivastava, S. K.</t>
  </si>
  <si>
    <t xml:space="preserve">Green supply-chain management: A state-of-the-art literature review</t>
  </si>
  <si>
    <t xml:space="preserve">Int. J. of Management Reviews, 9(1), 53–80</t>
  </si>
  <si>
    <t xml:space="preserve">Sistematizar el estado del arte de la gestión verde de la cadena.</t>
  </si>
  <si>
    <t xml:space="preserve">Define el alcance de la GSCM (de las compras al fin de vida).</t>
  </si>
  <si>
    <t xml:space="preserve">Referencia seminal del eje de cadena verde.</t>
  </si>
  <si>
    <t xml:space="preserve">Srivastava, S. K. (2007). Green supply-chain management: A state-of-the-art literature review. Int. J. of Management Reviews, 9(1), 53–80. https://doi.org/10.1111/j.1468-2370.2007.00202.x</t>
  </si>
  <si>
    <t xml:space="preserve">https://doi.org/10.1111/j.1468-2370.2007.00202.x</t>
  </si>
  <si>
    <t xml:space="preserve">Stahel, W. R.</t>
  </si>
  <si>
    <t xml:space="preserve">The circular economy</t>
  </si>
  <si>
    <t xml:space="preserve">Nature, 531(7595), 435–438</t>
  </si>
  <si>
    <t xml:space="preserve">Presentar la economía circular y la economía de la funcionalidad.</t>
  </si>
  <si>
    <t xml:space="preserve">Artículo de perspectiva.</t>
  </si>
  <si>
    <t xml:space="preserve">Vender desempeño (no objetos) cambia los incentivos hacia la durabilidad.</t>
  </si>
  <si>
    <t xml:space="preserve">Sustenta la visión transformadora de la circularidad.</t>
  </si>
  <si>
    <t xml:space="preserve">Stahel, W. R. (2016). The circular economy. Nature, 531(7595), 435–438. https://doi.org/10.1038/531435a</t>
  </si>
  <si>
    <t xml:space="preserve">https://doi.org/10.1038/531435a</t>
  </si>
  <si>
    <t xml:space="preserve">Tseng, M.-L., Islam, M. S., Karia, N., Fauzi, F. A., &amp; Afrin, S.</t>
  </si>
  <si>
    <t xml:space="preserve">A literature review on green supply chain management: Trends and future challenges</t>
  </si>
  <si>
    <t xml:space="preserve">Resources, Conservation and Recycling, 141, 145–162</t>
  </si>
  <si>
    <t xml:space="preserve">Revisar tendencias y retos de la gestión verde de la cadena.</t>
  </si>
  <si>
    <t xml:space="preserve">Revisión bibliométrica (880 artículos).</t>
  </si>
  <si>
    <t xml:space="preserve">El campo madura pero persisten retos de medición e integración.</t>
  </si>
  <si>
    <t xml:space="preserve">Actualiza el panorama del eje 2.</t>
  </si>
  <si>
    <t xml:space="preserve">Tseng, M.-L., Islam, M. S., Karia, N., Fauzi, F. A., &amp; Afrin, S. (2019). A literature review on green supply chain management: Trends and future challenges. Resources, Conservation and Recycling, 141, 145–162. https://doi.org/10.1016/j.resconrec.2018.10.009</t>
  </si>
  <si>
    <t xml:space="preserve">https://doi.org/10.1016/j.resconrec.2018.10.009</t>
  </si>
  <si>
    <t xml:space="preserve">World Business Council for Sustainable Development, &amp; World Resources Institute</t>
  </si>
  <si>
    <t xml:space="preserve">The greenhouse gas protocol: A corporate accounting and reporting standard (Rev. ed.)</t>
  </si>
  <si>
    <t xml:space="preserve">WBCSD &amp; WRI</t>
  </si>
  <si>
    <t xml:space="preserve">Estandarizar la contabilidad corporativa de gases de efecto invernadero.</t>
  </si>
  <si>
    <t xml:space="preserve">Estándar metodológico.</t>
  </si>
  <si>
    <t xml:space="preserve">Define los alcances 1, 2 y 3 de emisiones.</t>
  </si>
  <si>
    <t xml:space="preserve">Estándar de referencia para métricas de carbono.</t>
  </si>
  <si>
    <t xml:space="preserve">World Business Council for Sustainable Development, &amp; World Resources Institute (2011). The greenhouse gas protocol: A corporate accounting and reporting standard (Rev. ed.). WBCSD &amp; WRI.</t>
  </si>
  <si>
    <t xml:space="preserve">—</t>
  </si>
  <si>
    <t xml:space="preserve">Xu, X., Lu, Y., Vogel-Heuser, B., &amp; Wang, L.</t>
  </si>
  <si>
    <t xml:space="preserve">Industry 4.0 and Industry 5.0—Inception, conception and perception</t>
  </si>
  <si>
    <t xml:space="preserve">J. of Manufacturing Systems, 61, 530–535</t>
  </si>
  <si>
    <t xml:space="preserve">Diferenciar y conectar Industria 4.0 e Industria 5.0.</t>
  </si>
  <si>
    <t xml:space="preserve">Análisis conceptual.</t>
  </si>
  <si>
    <t xml:space="preserve">La Industria 5.0 reorienta la 4.0 hacia valores humanos y sostenibles.</t>
  </si>
  <si>
    <t xml:space="preserve">Define los pilares de Industria 5.0 usados en la discusión.</t>
  </si>
  <si>
    <t xml:space="preserve">Xu, X., Lu, Y., Vogel-Heuser, B., &amp; Wang, L. (2021). Industry 4.0 and Industry 5.0—Inception, conception and perception. J. of Manufacturing Systems, 61, 530–535. https://doi.org/10.1016/j.jmsy.2021.10.006</t>
  </si>
  <si>
    <t xml:space="preserve">https://doi.org/10.1016/j.jmsy.2021.10.006</t>
  </si>
  <si>
    <t xml:space="preserve">Zhu, Q., Sarkis, J., &amp; Lai, K.-H.</t>
  </si>
  <si>
    <t xml:space="preserve">Confirmation of a measurement model for green supply chain management practices implementation</t>
  </si>
  <si>
    <t xml:space="preserve">Int. J. of Production Economics, 111(2), 261–273</t>
  </si>
  <si>
    <t xml:space="preserve">Validar un modelo de medición de prácticas GSCM.</t>
  </si>
  <si>
    <t xml:space="preserve">Estudio empírico (encuesta, SEM).</t>
  </si>
  <si>
    <t xml:space="preserve">Se confirman dimensiones medibles de prácticas verdes en la cadena.</t>
  </si>
  <si>
    <t xml:space="preserve">Operacionaliza indicadores de cadena verde.</t>
  </si>
  <si>
    <t xml:space="preserve">Zhu, Q., Sarkis, J., &amp; Lai, K.-H. (2008). Confirmation of a measurement model for green supply chain management practices implementation. Int. J. of Production Economics, 111(2), 261–273. https://doi.org/10.1016/j.ijpe.2006.11.029</t>
  </si>
  <si>
    <t xml:space="preserve">https://doi.org/10.1016/j.ijpe.2006.11.029</t>
  </si>
  <si>
    <t xml:space="preserve">Langley, D. J., Rosca, E., Angelopoulos, M., Kamminga, O., &amp; Hooijer, C.</t>
  </si>
  <si>
    <t xml:space="preserve">Orchestrating a smart circular economy: Guiding principles for digital product passports</t>
  </si>
  <si>
    <t xml:space="preserve">Journal of Business Research, 169, 114259</t>
  </si>
  <si>
    <t xml:space="preserve">Proponer principios rectores para diseñar pasaportes digitales de producto (DPP).</t>
  </si>
  <si>
    <t xml:space="preserve">Investigación conceptual basada en casos.</t>
  </si>
  <si>
    <t xml:space="preserve">El DPP debe diseñarse en torno a la orquestación de datos entre actores, no solo como etiqueta.</t>
  </si>
  <si>
    <t xml:space="preserve">Principios de diseño del DPP; fuente reciente (eje 3).</t>
  </si>
  <si>
    <t xml:space="preserve">Langley, D. J., Rosca, E., Angelopoulos, M., Kamminga, O., &amp; Hooijer, C. (2023). Orchestrating a smart circular economy: Guiding principles for digital product passports. Journal of Business Research, 169, 114259. https://doi.org/10.1016/j.jbusres.2023.114259</t>
  </si>
  <si>
    <t xml:space="preserve">https://doi.org/10.1016/j.jbusres.2023.114259</t>
  </si>
  <si>
    <t xml:space="preserve">Jensen, S. F., Kristensen, J. H., Adamsen, S., Christensen, A., &amp; Waehrens, B. V.</t>
  </si>
  <si>
    <t xml:space="preserve">Digital product passports for a circular economy: Data needs for product life cycle decision-making</t>
  </si>
  <si>
    <t xml:space="preserve">Sustainable Production and Consumption, 37, 242–255</t>
  </si>
  <si>
    <t xml:space="preserve">Identificar las necesidades de datos del DPP para decisiones de ciclo de vida.</t>
  </si>
  <si>
    <t xml:space="preserve">Estudio de casos múltiples en mecatrónica (entrevistas y encuesta).</t>
  </si>
  <si>
    <t xml:space="preserve">Las necesidades de datos difieren entre actores y la madurez del intercambio es baja.</t>
  </si>
  <si>
    <t xml:space="preserve">Evidencia empírica reciente sobre datos del DPP.</t>
  </si>
  <si>
    <t xml:space="preserve">Jensen, S. F., Kristensen, J. H., Adamsen, S., Christensen, A., &amp; Waehrens, B. V. (2023). Digital product passports for a circular economy: Data needs for product life cycle decision-making. Sustainable Production and Consumption, 37, 242–255. https://doi.org/10.1016/j.spc.2023.02.021</t>
  </si>
  <si>
    <t xml:space="preserve">https://doi.org/10.1016/j.spc.2023.02.021</t>
  </si>
  <si>
    <t xml:space="preserve">Voulgaridis, K., Lagkas, T., Angelopoulos, C. M., Boulogeorgos, A.-A. A., Argyriou, V., &amp; Sarigiannidis, P.</t>
  </si>
  <si>
    <t xml:space="preserve">Digital product passports as enablers of digital circular economy: A framework based on technological perspective</t>
  </si>
  <si>
    <t xml:space="preserve">Telecommunication Systems, 85(4), 699–715</t>
  </si>
  <si>
    <t xml:space="preserve">Proponer un marco tecnológico para el DPP como habilitador de la economía circular digital.</t>
  </si>
  <si>
    <t xml:space="preserve">Revisión sistemática de literatura con enfoque tecnológico.</t>
  </si>
  <si>
    <t xml:space="preserve">Integra las funciones del pasaporte en un marco de economía circular digital.</t>
  </si>
  <si>
    <t xml:space="preserve">Marco tecnológico reciente del DPP.</t>
  </si>
  <si>
    <t xml:space="preserve">Voulgaridis, K., Lagkas, T., Angelopoulos, C. M., Boulogeorgos, A.-A. A., Argyriou, V., &amp; Sarigiannidis, P. (2024). Digital product passports as enablers of digital circular economy: A framework based on technological perspective. Telecommunication Systems, 85(4), 699–715. https://doi.org/10.1007/s11235-024-01104-x</t>
  </si>
  <si>
    <t xml:space="preserve">https://doi.org/10.1007/s11235-024-01104-x</t>
  </si>
  <si>
    <t xml:space="preserve">Psarommatis, F., &amp; May, G.</t>
  </si>
  <si>
    <t xml:space="preserve">Digital product passport: A pathway to circularity and sustainability in modern manufacturing</t>
  </si>
  <si>
    <t xml:space="preserve">Sustainability, 16(1), 396</t>
  </si>
  <si>
    <t xml:space="preserve">Proponer un modelo de DPP (Asset Administration Shell) para la circularidad en manufactura.</t>
  </si>
  <si>
    <t xml:space="preserve">Desarrollo de modelo y guías de adopción.</t>
  </si>
  <si>
    <t xml:space="preserve">Ofrece pautas accionables para fabricantes que adoptan el DPP.</t>
  </si>
  <si>
    <t xml:space="preserve">Aterriza el DPP en la manufactura; fuente reciente.</t>
  </si>
  <si>
    <t xml:space="preserve">Psarommatis, F., &amp; May, G. (2024). Digital product passport: A pathway to circularity and sustainability in modern manufacturing. Sustainability, 16(1), 396. https://doi.org/10.3390/su16010396</t>
  </si>
  <si>
    <t xml:space="preserve">https://doi.org/10.3390/su16010396</t>
  </si>
  <si>
    <t xml:space="preserve">Hettler, M., &amp; Graf-Vlachy, L.</t>
  </si>
  <si>
    <t xml:space="preserve">Corporate scope 3 carbon emission reporting as an enabler of supply chain decarbonization: A systematic review and comprehensive research agenda</t>
  </si>
  <si>
    <t xml:space="preserve">Business Strategy and the Environment, 33(2), 263–282</t>
  </si>
  <si>
    <t xml:space="preserve">Revisar el reporte de emisiones de alcance 3 como habilitador de la descarbonización.</t>
  </si>
  <si>
    <t xml:space="preserve">El alcance 3 puede superar el 75 % de las emisiones y su reporte es aún voluntario.</t>
  </si>
  <si>
    <t xml:space="preserve">Fuente reciente clave sobre carbono/alcance 3.</t>
  </si>
  <si>
    <t xml:space="preserve">Hettler, M., &amp; Graf-Vlachy, L. (2024). Corporate scope 3 carbon emission reporting as an enabler of supply chain decarbonization: A systematic review and comprehensive research agenda. Business Strategy and the Environment, 33(2), 263–282. https://doi.org/10.1002/bse.3486</t>
  </si>
  <si>
    <t xml:space="preserve">https://doi.org/10.1002/bse.3486</t>
  </si>
  <si>
    <t xml:space="preserve">Stenzel, A., &amp; Waichman, I.</t>
  </si>
  <si>
    <t xml:space="preserve">Supply-chain data sharing for scope 3 emissions</t>
  </si>
  <si>
    <t xml:space="preserve">npj Climate Action, 2, 7</t>
  </si>
  <si>
    <t xml:space="preserve">Analizar el intercambio de datos de cadena para calcular el alcance 3.</t>
  </si>
  <si>
    <t xml:space="preserve">Modelación y análisis.</t>
  </si>
  <si>
    <t xml:space="preserve">Las estimaciones actuales se basan en promedios; compartir datos mejora la precisión.</t>
  </si>
  <si>
    <t xml:space="preserve">Conecta datos de cadena y contabilidad de carbono.</t>
  </si>
  <si>
    <t xml:space="preserve">Stenzel, A., &amp; Waichman, I. (2023). Supply-chain data sharing for scope 3 emissions. npj Climate Action, 2, 7. https://doi.org/10.1038/s44168-023-00032-x</t>
  </si>
  <si>
    <t xml:space="preserve">https://doi.org/10.1038/s44168-023-00032-x</t>
  </si>
  <si>
    <t xml:space="preserve">Maheshwari, S., Jaggi, C. K., &amp; Gautam, P. (verificar iniciales)</t>
  </si>
  <si>
    <t xml:space="preserve">A state-of-the-art review of green supply chain management: Observations and business insights</t>
  </si>
  <si>
    <t xml:space="preserve">Annals of Operations Research (en prensa)</t>
  </si>
  <si>
    <t xml:space="preserve">Revisar el estado del arte de la gestión verde de la cadena de suministro.</t>
  </si>
  <si>
    <t xml:space="preserve">Revisión de 377 artículos revisados por pares.</t>
  </si>
  <si>
    <t xml:space="preserve">Las prácticas verdes mejoran el desempeño sostenible de las empresas.</t>
  </si>
  <si>
    <t xml:space="preserve">Actualización reciente del eje 2.</t>
  </si>
  <si>
    <t xml:space="preserve">Maheshwari, S., Jaggi, C. K., &amp; Gautam, P. (verificar iniciales) (2025). A state-of-the-art review of green supply chain management: Observations and business insights. Annals of Operations Research (en prensa). https://doi.org/10.1007/s10479-025-06619-3</t>
  </si>
  <si>
    <t xml:space="preserve">https://doi.org/10.1007/s10479-025-06619-3</t>
  </si>
  <si>
    <t xml:space="preserve">Wiredu, J., Yang, Q., Sampene, A. K., Gyamfi, B. A., &amp; Asongu, S. A.</t>
  </si>
  <si>
    <t xml:space="preserve">The effect of green supply chain management practices on corporate environmental performance: Does supply chain competitive advantage matter?</t>
  </si>
  <si>
    <t xml:space="preserve">Business Strategy and the Environment, 33(2), 2578–2599</t>
  </si>
  <si>
    <t xml:space="preserve">Analizar el efecto de las prácticas GSCM sobre el desempeño ambiental corporativo.</t>
  </si>
  <si>
    <t xml:space="preserve">Encuesta a 710 empresas (Shaanxi, China); SEM.</t>
  </si>
  <si>
    <t xml:space="preserve">La presión institucional y el apoyo directivo impulsan las prácticas verdes y la ventaja competitiva.</t>
  </si>
  <si>
    <t xml:space="preserve">Evidencia empírica reciente del eje 2.</t>
  </si>
  <si>
    <t xml:space="preserve">Wiredu, J., Yang, Q., Sampene, A. K., Gyamfi, B. A., &amp; Asongu, S. A. (2024). The effect of green supply chain management practices on corporate environmental performance: Does supply chain competitive advantage matter?. Business Strategy and the Environment, 33(2), 2578–2599. https://doi.org/10.1002/bse.3606</t>
  </si>
  <si>
    <t xml:space="preserve">https://doi.org/10.1002/bse.3606</t>
  </si>
  <si>
    <t xml:space="preserve">Nureen, N., Sun, H., Irfan, M., Nuta, A. C., &amp; Malik, M.</t>
  </si>
  <si>
    <t xml:space="preserve">Digital transformation: Fresh insights to implement green supply chain management... in manufacturing of an emerging economy</t>
  </si>
  <si>
    <t xml:space="preserve">Environmental Science and Pollution Research, 30(32), 78168–78181</t>
  </si>
  <si>
    <t xml:space="preserve">Examinar cómo la transformación digital habilita el GSCM en una economía emergente.</t>
  </si>
  <si>
    <t xml:space="preserve">Encuesta a 550 manufactureras (China); SEM.</t>
  </si>
  <si>
    <t xml:space="preserve">El GSCM afecta el desempeño vía estrategia ambiental e innovación eco-tecnológica.</t>
  </si>
  <si>
    <t xml:space="preserve">Une digitalización y cadena verde (eje 2).</t>
  </si>
  <si>
    <t xml:space="preserve">Nureen, N., Sun, H., Irfan, M., Nuta, A. C., &amp; Malik, M. (2023). Digital transformation: Fresh insights to implement green supply chain management... in manufacturing of an emerging economy. Environmental Science and Pollution Research, 30(32), 78168–78181. https://doi.org/10.1007/s11356-023-27796-3</t>
  </si>
  <si>
    <t xml:space="preserve">https://doi.org/10.1007/s11356-023-27796-3</t>
  </si>
  <si>
    <t xml:space="preserve">Qian, C., Gao, Y., &amp; Chen, L.</t>
  </si>
  <si>
    <t xml:space="preserve">Green supply chain circular economy evaluation system based on IIoT and blockchain technology under ESG concept</t>
  </si>
  <si>
    <t xml:space="preserve">Processes, 11(7), 1999</t>
  </si>
  <si>
    <t xml:space="preserve">Proponer un sistema de evaluación de cadena verde circular con IIoT y blockchain bajo ESG.</t>
  </si>
  <si>
    <t xml:space="preserve">Desarrollo de modelo (IIoT + blockchain).</t>
  </si>
  <si>
    <t xml:space="preserve">La trazabilidad por blockchain e IIoT mejora transparencia y rendición de cuentas ESG.</t>
  </si>
  <si>
    <t xml:space="preserve">Conecta cadena verde, circularidad, trazabilidad y ESG.</t>
  </si>
  <si>
    <t xml:space="preserve">Qian, C., Gao, Y., &amp; Chen, L. (2023). Green supply chain circular economy evaluation system based on IIoT and blockchain technology under ESG concept. Processes, 11(7), 1999. https://doi.org/10.3390/pr11071999</t>
  </si>
  <si>
    <t xml:space="preserve">https://doi.org/10.3390/pr11071999</t>
  </si>
  <si>
    <t xml:space="preserve">Wang, J., Hong, Z., &amp; Long, H.</t>
  </si>
  <si>
    <t xml:space="preserve">Digital transformation empowers ESG performance in the manufacturing industry: From ESG to DESG</t>
  </si>
  <si>
    <t xml:space="preserve">SAGE Open, 13(4)</t>
  </si>
  <si>
    <t xml:space="preserve">Analizar cómo la transformación digital potencia el desempeño ESG en manufactura.</t>
  </si>
  <si>
    <t xml:space="preserve">Estudio empírico (manufactureras chinas, 2009–2020).</t>
  </si>
  <si>
    <t xml:space="preserve">La transformación digital mejora el ESG, más en empresas no estatales e intensivas en trabajo.</t>
  </si>
  <si>
    <t xml:space="preserve">Fuente reciente ESG en manufactura.</t>
  </si>
  <si>
    <t xml:space="preserve">Wang, J., Hong, Z., &amp; Long, H. (2023). Digital transformation empowers ESG performance in the manufacturing industry: From ESG to DESG. SAGE Open, 13(4). https://doi.org/10.1177/21582440231204158</t>
  </si>
  <si>
    <t xml:space="preserve">https://doi.org/10.1177/21582440231204158</t>
  </si>
  <si>
    <t xml:space="preserve">Yang, J., Zuo, Z., Li, Y., &amp; Guo, H. (verificar volumen/páginas)</t>
  </si>
  <si>
    <t xml:space="preserve">Manufacturing enterprises move towards sustainable development: ESG performance, market-based environmental regulation, and green technological innovation</t>
  </si>
  <si>
    <t xml:space="preserve">Journal of Environmental Management, 370, 123244</t>
  </si>
  <si>
    <t xml:space="preserve">Relacionar desempeño ESG, regulación ambiental de mercado e innovación verde.</t>
  </si>
  <si>
    <t xml:space="preserve">Estudio empírico (panel de manufactureras).</t>
  </si>
  <si>
    <t xml:space="preserve">La innovación verde se asocia a mejor desempeño ESG.</t>
  </si>
  <si>
    <t xml:space="preserve">Fuente reciente ESG/innovación (eje 5).</t>
  </si>
  <si>
    <t xml:space="preserve">Yang, J., Zuo, Z., Li, Y., &amp; Guo, H. (verificar volumen/páginas) (2024). Manufacturing enterprises move towards sustainable development: ESG performance, market-based environmental regulation, and green technological innovation. Journal of Environmental Management, 370, 123244. https://doi.org/10.1016/j.jenvman.2024.123244</t>
  </si>
  <si>
    <t xml:space="preserve">https://doi.org/10.1016/j.jenvman.2024.123244</t>
  </si>
  <si>
    <t xml:space="preserve">Abbas, Z., &amp; Myeong, S.</t>
  </si>
  <si>
    <t xml:space="preserve">A comprehensive study of blockchain technology and its role in promoting sustainability and circularity across large-scale industry</t>
  </si>
  <si>
    <t xml:space="preserve">Sustainability, 16(10), 4232</t>
  </si>
  <si>
    <t xml:space="preserve">Revisar el papel del blockchain en sostenibilidad y circularidad industrial.</t>
  </si>
  <si>
    <t xml:space="preserve">Revisión sistemática de 185 artículos.</t>
  </si>
  <si>
    <t xml:space="preserve">El blockchain habilita trazabilidad y circularidad, con barreras de adopción.</t>
  </si>
  <si>
    <t xml:space="preserve">Trazabilidad digital (eje 3), fuente reciente.</t>
  </si>
  <si>
    <t xml:space="preserve">Abbas, Z., &amp; Myeong, S. (2024). A comprehensive study of blockchain technology and its role in promoting sustainability and circularity across large-scale industry. Sustainability, 16(10), 4232. https://doi.org/10.3390/su16104232</t>
  </si>
  <si>
    <t xml:space="preserve">https://doi.org/10.3390/su16104232</t>
  </si>
  <si>
    <t xml:space="preserve">Atif, S.</t>
  </si>
  <si>
    <t xml:space="preserve">Analysing the alignment between circular economy and Industry 4.0 nexus with Industry 5.0 era: An integrative systematic literature review</t>
  </si>
  <si>
    <t xml:space="preserve">Sustainable Development, 31(4), 2155–2175</t>
  </si>
  <si>
    <t xml:space="preserve">Analizar la alineación entre economía circular, Industria 4.0 e Industria 5.0.</t>
  </si>
  <si>
    <t xml:space="preserve">Revisión sistemática integradora de 160 artículos.</t>
  </si>
  <si>
    <t xml:space="preserve">La Industria 5.0 reencuadra el nexo circularidad–I4.0 hacia propósito humano y sostenible.</t>
  </si>
  <si>
    <t xml:space="preserve">Conecta ejes con Industria 5.0 (discusión).</t>
  </si>
  <si>
    <t xml:space="preserve">Atif, S. (2023). Analysing the alignment between circular economy and Industry 4.0 nexus with Industry 5.0 era: An integrative systematic literature review. Sustainable Development, 31(4), 2155–2175. https://doi.org/10.1002/sd.2542</t>
  </si>
  <si>
    <t xml:space="preserve">https://doi.org/10.1002/sd.2542</t>
  </si>
  <si>
    <t xml:space="preserve">Taddei, E., Sassanelli, C., Rosa, P., &amp; Terzi, S.</t>
  </si>
  <si>
    <t xml:space="preserve">Circular supply chains in the era of Industry 4.0: A systematic literature review</t>
  </si>
  <si>
    <t xml:space="preserve">Computers &amp; Industrial Engineering, 170, 108268</t>
  </si>
  <si>
    <t xml:space="preserve">Revisar las cadenas de suministro circulares en la era de la Industria 4.0.</t>
  </si>
  <si>
    <t xml:space="preserve">Las tecnologías digitales habilitan cadenas de suministro circulares.</t>
  </si>
  <si>
    <t xml:space="preserve">Puente cadena verde–circularidad–I4.0.</t>
  </si>
  <si>
    <t xml:space="preserve">Taddei, E., Sassanelli, C., Rosa, P., &amp; Terzi, S. (2022). Circular supply chains in the era of Industry 4.0: A systematic literature review. Computers &amp; Industrial Engineering, 170, 108268. https://doi.org/10.1016/j.cie.2022.108268</t>
  </si>
  <si>
    <t xml:space="preserve">https://doi.org/10.1016/j.cie.2022.108268</t>
  </si>
  <si>
    <t xml:space="preserve">Duan, Y., Yang, F., &amp; Xiong, L. (verificar iniciales)</t>
  </si>
  <si>
    <t xml:space="preserve">Environmental, social, and governance (ESG) performance and firm value: Evidence from Chinese manufacturing firms</t>
  </si>
  <si>
    <t xml:space="preserve">Sustainability, 15(17), 12858</t>
  </si>
  <si>
    <t xml:space="preserve">Relacionar el desempeño ESG con el valor de empresas manufactureras.</t>
  </si>
  <si>
    <t xml:space="preserve">Estudio empírico (A-share, China).</t>
  </si>
  <si>
    <t xml:space="preserve">El desempeño ESG se asocia positivamente con el valor de la firma.</t>
  </si>
  <si>
    <t xml:space="preserve">Fuente reciente ESG (eje 5).</t>
  </si>
  <si>
    <t xml:space="preserve">Duan, Y., Yang, F., &amp; Xiong, L. (verificar iniciales) (2023). Environmental, social, and governance (ESG) performance and firm value: Evidence from Chinese manufacturing firms. Sustainability, 15(17), 12858. https://doi.org/10.3390/su151712858</t>
  </si>
  <si>
    <t xml:space="preserve">https://doi.org/10.3390/su151712858</t>
  </si>
  <si>
    <t xml:space="preserve">Patyal, V. S., Sarma, P. R. S., Modgil, S., Nag, T., &amp; Dennehy, D. (verificar páginas)</t>
  </si>
  <si>
    <t xml:space="preserve">Mapping the links between Industry 4.0, circular economy and sustainability: A systematic literature review</t>
  </si>
  <si>
    <t xml:space="preserve">Journal of Enterprise Information Management, 35(1)</t>
  </si>
  <si>
    <t xml:space="preserve">Mapear los vínculos entre Industria 4.0, economía circular y sostenibilidad.</t>
  </si>
  <si>
    <t xml:space="preserve">Identifica sinergias y brechas entre I4.0, circularidad y sostenibilidad.</t>
  </si>
  <si>
    <t xml:space="preserve">Marco integrador reciente (eje 1).</t>
  </si>
  <si>
    <t xml:space="preserve">Patyal, V. S., Sarma, P. R. S., Modgil, S., Nag, T., &amp; Dennehy, D. (verificar páginas) (2022). Mapping the links between Industry 4.0, circular economy and sustainability: A systematic literature review. Journal of Enterprise Information Management, 35(1). https://doi.org/10.1108/JEIM-05-2021-0197</t>
  </si>
  <si>
    <t xml:space="preserve">https://doi.org/10.1108/JEIM-05-2021-0197</t>
  </si>
  <si>
    <t xml:space="preserve">Ching, N. T., Ghobakhloo, M., Iranmanesh, M., Maroufkhani, P., &amp; Asadi, S.</t>
  </si>
  <si>
    <t xml:space="preserve">Industry 4.0 applications for sustainable manufacturing: A systematic literature review and a roadmap to sustainable development</t>
  </si>
  <si>
    <t xml:space="preserve">Journal of Cleaner Production, 334, 130133</t>
  </si>
  <si>
    <t xml:space="preserve">Revisar aplicaciones de la Industria 4.0 para la manufactura sostenible.</t>
  </si>
  <si>
    <t xml:space="preserve">Revisión sistemática y hoja de ruta.</t>
  </si>
  <si>
    <t xml:space="preserve">Las tecnologías I4.0 habilitan manufactura sostenible por múltiples vías.</t>
  </si>
  <si>
    <t xml:space="preserve">Digitalización–sostenibilidad (eje 4).</t>
  </si>
  <si>
    <t xml:space="preserve">Ching, N. T., Ghobakhloo, M., Iranmanesh, M., Maroufkhani, P., &amp; Asadi, S. (2022). Industry 4.0 applications for sustainable manufacturing: A systematic literature review and a roadmap to sustainable development. Journal of Cleaner Production, 334, 130133. https://doi.org/10.1016/j.jclepro.2021.130133</t>
  </si>
  <si>
    <t xml:space="preserve">https://doi.org/10.1016/j.jclepro.2021.130133</t>
  </si>
  <si>
    <t xml:space="preserve">Sahoo, S., &amp; Jakhar, S. K.</t>
  </si>
  <si>
    <t xml:space="preserve">Industry 4.0 deployment for circular economy performance—Understanding the role of green procurement and remanufacturing activities</t>
  </si>
  <si>
    <t xml:space="preserve">Business Strategy and the Environment, 33(2), 1144–1160</t>
  </si>
  <si>
    <t xml:space="preserve">Analizar cómo la Industria 4.0 mejora el desempeño circular.</t>
  </si>
  <si>
    <t xml:space="preserve">SEM con 278 manufactureras (India).</t>
  </si>
  <si>
    <t xml:space="preserve">La compra verde y la remanufactura median el efecto de la I4.0 en la circularidad.</t>
  </si>
  <si>
    <t xml:space="preserve">Evidencia empírica reciente (eje 1).</t>
  </si>
  <si>
    <t xml:space="preserve">Sahoo, S., &amp; Jakhar, S. K. (2024). Industry 4.0 deployment for circular economy performance—Understanding the role of green procurement and remanufacturing activities. Business Strategy and the Environment, 33(2), 1144–1160. https://doi.org/10.1002/bse.3542</t>
  </si>
  <si>
    <t xml:space="preserve">https://doi.org/10.1002/bse.3542</t>
  </si>
  <si>
    <t xml:space="preserve">Findik, D., Tirgil, A., &amp; Özbuğday, F. C.</t>
  </si>
  <si>
    <t xml:space="preserve">Industry 4.0 as an enabler of circular economy practices: Evidence from European SMEs</t>
  </si>
  <si>
    <t xml:space="preserve">Journal of Cleaner Production, 410, 137281</t>
  </si>
  <si>
    <t xml:space="preserve">Examinar cómo la I4.0 habilita prácticas circulares en pymes europeas.</t>
  </si>
  <si>
    <t xml:space="preserve">Análisis empírico (pymes europeas).</t>
  </si>
  <si>
    <t xml:space="preserve">La adopción de I4.0 se asocia a más prácticas circulares.</t>
  </si>
  <si>
    <t xml:space="preserve">Evidencia reciente en pymes (eje 1).</t>
  </si>
  <si>
    <t xml:space="preserve">Findik, D., Tirgil, A., &amp; Özbuğday, F. C. (2023). Industry 4.0 as an enabler of circular economy practices: Evidence from European SMEs. Journal of Cleaner Production, 410, 137281. https://doi.org/10.1016/j.jclepro.2023.137281</t>
  </si>
  <si>
    <t xml:space="preserve">https://doi.org/10.1016/j.jclepro.2023.137281</t>
  </si>
  <si>
    <t xml:space="preserve">Saharan, A., Samadhiya, A., Kumar, A., Pandey, K. K., Luthra, S., &amp; Garza-Reyes, J. A.</t>
  </si>
  <si>
    <t xml:space="preserve">Achieving circularity is a distant dream: Entrepreneurial barriers to circular business models in SMEs of emerging economies</t>
  </si>
  <si>
    <t xml:space="preserve">Management Decision, 62(8), 2690–2713</t>
  </si>
  <si>
    <t xml:space="preserve">Identificar barreras a modelos de negocio circulares en pymes.</t>
  </si>
  <si>
    <t xml:space="preserve">Estudio empírico (economías emergentes).</t>
  </si>
  <si>
    <t xml:space="preserve">Persisten barreras financieras y organizativas a la circularidad.</t>
  </si>
  <si>
    <t xml:space="preserve">Vacío/barreras de la circularidad (eje 1).</t>
  </si>
  <si>
    <t xml:space="preserve">Saharan, A., Samadhiya, A., Kumar, A., Pandey, K. K., Luthra, S., &amp; Garza-Reyes, J. A. (2023). Achieving circularity is a distant dream: Entrepreneurial barriers to circular business models in SMEs of emerging economies. Management Decision, 62(8), 2690–2713. https://doi.org/10.1108/MD-02-2023-0269</t>
  </si>
  <si>
    <t xml:space="preserve">https://doi.org/10.1108/MD-02-2023-0269</t>
  </si>
  <si>
    <t xml:space="preserve">Centoamore, P., &amp; Pinto, L. F. R.</t>
  </si>
  <si>
    <t xml:space="preserve">Remanufacturing assessment of machine tools under a circular economy perspective: A resource conservation initiative</t>
  </si>
  <si>
    <t xml:space="preserve">Sustainability, 16(8), 3109</t>
  </si>
  <si>
    <t xml:space="preserve">Evaluar la remanufactura de máquinas-herramienta bajo economía circular.</t>
  </si>
  <si>
    <t xml:space="preserve">Evaluación técnico-económica.</t>
  </si>
  <si>
    <t xml:space="preserve">La reutilización de estructuras ofrece ventaja económica frente a fabricar nuevo.</t>
  </si>
  <si>
    <t xml:space="preserve">Caso/remanufactura con KPI (eje 1).</t>
  </si>
  <si>
    <t xml:space="preserve">Centoamore, P., &amp; Pinto, L. F. R. (2024). Remanufacturing assessment of machine tools under a circular economy perspective: A resource conservation initiative. Sustainability, 16(8), 3109. https://doi.org/10.3390/su16083109</t>
  </si>
  <si>
    <t xml:space="preserve">https://doi.org/10.3390/su16083109</t>
  </si>
  <si>
    <t xml:space="preserve">Khan, M., Ajmal, M. M., Jabeen, F., Talwar, S., &amp; Dhir, A.</t>
  </si>
  <si>
    <t xml:space="preserve">Green supply chain management in manufacturing firms: A resource-based viewpoint</t>
  </si>
  <si>
    <t xml:space="preserve">Business Strategy and the Environment, 32(4)</t>
  </si>
  <si>
    <t xml:space="preserve">Explicar el GSCM desde la visión basada en recursos.</t>
  </si>
  <si>
    <t xml:space="preserve">Encuesta a 381 manufactureras (Reino Unido).</t>
  </si>
  <si>
    <t xml:space="preserve">Conectividad, intercambio de información y compromiso directivo activan el GSCM.</t>
  </si>
  <si>
    <t xml:space="preserve">Base RBV reciente (eje 2).</t>
  </si>
  <si>
    <t xml:space="preserve">Khan, M., Ajmal, M. M., Jabeen, F., Talwar, S., &amp; Dhir, A. (2023). Green supply chain management in manufacturing firms: A resource-based viewpoint. Business Strategy and the Environment, 32(4). https://doi.org/10.1002/bse.3207</t>
  </si>
  <si>
    <t xml:space="preserve">https://doi.org/10.1002/bse.3207</t>
  </si>
  <si>
    <t xml:space="preserve">Wang, Y., &amp; Ozturk, I.</t>
  </si>
  <si>
    <t xml:space="preserve">Role of green innovation, green internal, and external supply chain management practices: A gateway to environmental sustainability</t>
  </si>
  <si>
    <t xml:space="preserve">Economic Research-Ekonomska Istraživanja, 36(3), 2192769</t>
  </si>
  <si>
    <t xml:space="preserve">Analizar prácticas GSCM internas/externas e innovación verde.</t>
  </si>
  <si>
    <t xml:space="preserve">Encuesta a 358 manufactureras (China).</t>
  </si>
  <si>
    <t xml:space="preserve">Cooperación con clientes y compra verde elevan el desempeño ecológico.</t>
  </si>
  <si>
    <t xml:space="preserve">Evidencia reciente (eje 2).</t>
  </si>
  <si>
    <t xml:space="preserve">Wang, Y., &amp; Ozturk, I. (2023). Role of green innovation, green internal, and external supply chain management practices: A gateway to environmental sustainability. Economic Research-Ekonomska Istraživanja, 36(3), 2192769. https://doi.org/10.1080/1331677X.2023.2192769</t>
  </si>
  <si>
    <t xml:space="preserve">https://doi.org/10.1080/1331677X.2023.2192769</t>
  </si>
  <si>
    <t xml:space="preserve">Yin, F., Xiao, Y., Cao, R., &amp; Zhang, J.</t>
  </si>
  <si>
    <t xml:space="preserve">Impacts of ESG disclosure on corporate carbon performance: Empirical evidence from listed companies in heavy pollution industries</t>
  </si>
  <si>
    <t xml:space="preserve">Sustainability, 15(21), 15296</t>
  </si>
  <si>
    <t xml:space="preserve">Relacionar divulgación ESG y desempeño de carbono.</t>
  </si>
  <si>
    <t xml:space="preserve">Panel con efectos fijos (China).</t>
  </si>
  <si>
    <t xml:space="preserve">Mayor divulgación ESG se asocia a mejor desempeño de carbono.</t>
  </si>
  <si>
    <t xml:space="preserve">ESG–carbono reciente (eje 5).</t>
  </si>
  <si>
    <t xml:space="preserve">Yin, F., Xiao, Y., Cao, R., &amp; Zhang, J. (2023). Impacts of ESG disclosure on corporate carbon performance: Empirical evidence from listed companies in heavy pollution industries. Sustainability, 15(21), 15296. https://doi.org/10.3390/su152115296</t>
  </si>
  <si>
    <t xml:space="preserve">https://doi.org/10.3390/su152115296</t>
  </si>
  <si>
    <t xml:space="preserve">Ye, J., &amp; Xu, W.</t>
  </si>
  <si>
    <t xml:space="preserve">Carbon reduction effect of ESG: Empirical evidence from listed manufacturing companies in China</t>
  </si>
  <si>
    <t xml:space="preserve">Frontiers in Ecology and Evolution, 11, 1311777</t>
  </si>
  <si>
    <t xml:space="preserve">Medir el efecto del desempeño ESG en las emisiones de carbono.</t>
  </si>
  <si>
    <t xml:space="preserve">Panel (manufactureras chinas, 2010–2020).</t>
  </si>
  <si>
    <t xml:space="preserve">El desempeño ESG reduce las emisiones vía innovación verde y eficiencia.</t>
  </si>
  <si>
    <t xml:space="preserve">Ye, J., &amp; Xu, W. (2023). Carbon reduction effect of ESG: Empirical evidence from listed manufacturing companies in China. Frontiers in Ecology and Evolution, 11, 1311777. https://doi.org/10.3389/fevo.2023.1311777</t>
  </si>
  <si>
    <t xml:space="preserve">https://doi.org/10.3389/fevo.2023.1311777</t>
  </si>
  <si>
    <t xml:space="preserve">Dacre, N., Yan, J., Frei, R., Al-Mhdawi, M. K. S., &amp; Dong, H.</t>
  </si>
  <si>
    <t xml:space="preserve">Advancing sustainable manufacturing: A systematic exploration of Industry 5.0 supply chains for sustainability, human-centricity, and resilience</t>
  </si>
  <si>
    <t xml:space="preserve">Production Planning &amp; Control (en prensa)</t>
  </si>
  <si>
    <t xml:space="preserve">Explorar cadenas de la Industria 5.0 en sostenibilidad, centralidad humana y resiliencia.</t>
  </si>
  <si>
    <t xml:space="preserve">Revisión sistemática.</t>
  </si>
  <si>
    <t xml:space="preserve">Integra los tres pilares de la Industria 5.0 en la cadena de suministro.</t>
  </si>
  <si>
    <t xml:space="preserve">Pilares de Industria 5.0 (discusión).</t>
  </si>
  <si>
    <t xml:space="preserve">Dacre, N., Yan, J., Frei, R., Al-Mhdawi, M. K. S., &amp; Dong, H. (2024). Advancing sustainable manufacturing: A systematic exploration of Industry 5.0 supply chains for sustainability, human-centricity, and resilience. Production Planning &amp; Control (en prensa). https://doi.org/10.1080/09537287.2024.2380361</t>
  </si>
  <si>
    <t xml:space="preserve">https://doi.org/10.1080/09537287.2024.2380361</t>
  </si>
  <si>
    <t xml:space="preserve">Baratsas, S. G., Pistikopoulos, E. N., &amp; Avraamidou, S.</t>
  </si>
  <si>
    <t xml:space="preserve">A quantitative and holistic circular economy assessment framework at the micro level</t>
  </si>
  <si>
    <t xml:space="preserve">Computers and Chemical Engineering, 160, 107697</t>
  </si>
  <si>
    <t xml:space="preserve">Proponer un marco cuantitativo y holístico para evaluar la economía circular a nivel micro.</t>
  </si>
  <si>
    <t xml:space="preserve">Marco de evaluación con indicadores.</t>
  </si>
  <si>
    <t xml:space="preserve">Ofrece métricas integradas para medir circularidad a escala de empresa/producto.</t>
  </si>
  <si>
    <t xml:space="preserve">Búsqueda sistemática: métricas de circularidad (eje 1).</t>
  </si>
  <si>
    <t xml:space="preserve">Baratsas, S. G., Pistikopoulos, E. N., &amp; Avraamidou, S. (2022). A quantitative and holistic circular economy assessment framework at the micro level. Computers and Chemical Engineering, 160, 107697. https://doi.org/10.1016/j.compchemeng.2022.107697</t>
  </si>
  <si>
    <t xml:space="preserve">https://doi.org/10.1016/j.compchemeng.2022.107697</t>
  </si>
  <si>
    <t xml:space="preserve">Rao, K. S., Rao, S. G., Rao, U. V. A., &amp; Baburao, C.</t>
  </si>
  <si>
    <t xml:space="preserve">Designing circular supply chains for ethical and responsible production</t>
  </si>
  <si>
    <t xml:space="preserve">Capítulo de libro</t>
  </si>
  <si>
    <t xml:space="preserve">Ethical Sourcing for Responsible Supply Chain Management, 95–125</t>
  </si>
  <si>
    <t xml:space="preserve">Diseñar cadenas de suministro circulares para una producción ética y responsable.</t>
  </si>
  <si>
    <t xml:space="preserve">Capítulo conceptual.</t>
  </si>
  <si>
    <t xml:space="preserve">Vincula circularidad con abastecimiento ético y responsabilidad.</t>
  </si>
  <si>
    <t xml:space="preserve">Búsqueda sistemática: cadena circular (eje 2).</t>
  </si>
  <si>
    <t xml:space="preserve">Rao, K. S., Rao, S. G., Rao, U. V. A., &amp; Baburao, C. (2026). Designing circular supply chains for ethical and responsible production. Ethical Sourcing for Responsible Supply Chain Management, 95–125. https://doi.org/10.4018/979-8-3373-7143-6.ch004</t>
  </si>
  <si>
    <t xml:space="preserve">https://doi.org/10.4018/979-8-3373-7143-6.ch004</t>
  </si>
  <si>
    <t xml:space="preserve">Prakash, N., Dharshne, M., Karthikeyan, P., Sree, A. K., &amp; Krishnashree, S.</t>
  </si>
  <si>
    <t xml:space="preserve">Metrics and performance measurement for circular economy</t>
  </si>
  <si>
    <t xml:space="preserve">Manufacturing and the Circular Economy, 253–287</t>
  </si>
  <si>
    <t xml:space="preserve">Revisar métricas y medición del desempeño en economía circular.</t>
  </si>
  <si>
    <t xml:space="preserve">Capítulo de síntesis.</t>
  </si>
  <si>
    <t xml:space="preserve">Sistematiza indicadores para medir la circularidad en manufactura.</t>
  </si>
  <si>
    <t xml:space="preserve">Búsqueda sistemática: métricas (eje 1).</t>
  </si>
  <si>
    <t xml:space="preserve">Prakash, N., Dharshne, M., Karthikeyan, P., Sree, A. K., &amp; Krishnashree, S. (2026). Metrics and performance measurement for circular economy. Manufacturing and the Circular Economy, 253–287.</t>
  </si>
  <si>
    <t xml:space="preserve">Munonye, W. C., &amp; Munonye, D. I.</t>
  </si>
  <si>
    <t xml:space="preserve">Beyond greenwashing: How circular economy metrics could revolutionize ESG investing</t>
  </si>
  <si>
    <t xml:space="preserve">Frontiers in Sustainability, 6, 1588374</t>
  </si>
  <si>
    <t xml:space="preserve">Analizar cómo las métricas de circularidad pueden transformar la inversión ESG.</t>
  </si>
  <si>
    <t xml:space="preserve">Revisión.</t>
  </si>
  <si>
    <t xml:space="preserve">Las métricas de circularidad verificables reducen el greenwashing en ESG.</t>
  </si>
  <si>
    <t xml:space="preserve">Búsqueda sistemática: ESG + circularidad (eje 5).</t>
  </si>
  <si>
    <t xml:space="preserve">Munonye, W. C., &amp; Munonye, D. I. (2026). Beyond greenwashing: How circular economy metrics could revolutionize ESG investing. Frontiers in Sustainability, 6, 1588374. https://doi.org/10.3389/frsus.2025.1588374</t>
  </si>
  <si>
    <t xml:space="preserve">https://doi.org/10.3389/frsus.2025.1588374</t>
  </si>
  <si>
    <t xml:space="preserve">Farrokhi, M., Gatti, M., &amp; Bahrini, A.</t>
  </si>
  <si>
    <t xml:space="preserve">An analytics-based structural modeling study of circular practices in sustainable supply chains</t>
  </si>
  <si>
    <t xml:space="preserve">Supply Chain Analytics, 13, 100196</t>
  </si>
  <si>
    <t xml:space="preserve">Modelar las prácticas circulares en cadenas de suministro sostenibles.</t>
  </si>
  <si>
    <t xml:space="preserve">Modelado estructural basado en analítica.</t>
  </si>
  <si>
    <t xml:space="preserve">Identifica relaciones entre prácticas circulares y desempeño sostenible.</t>
  </si>
  <si>
    <t xml:space="preserve">Búsqueda sistemática: cadena verde (eje 2).</t>
  </si>
  <si>
    <t xml:space="preserve">Farrokhi, M., Gatti, M., &amp; Bahrini, A. (2026). An analytics-based structural modeling study of circular practices in sustainable supply chains. Supply Chain Analytics, 13, 100196. https://doi.org/10.1016/j.sca.2026.100196</t>
  </si>
  <si>
    <t xml:space="preserve">https://doi.org/10.1016/j.sca.2026.100196</t>
  </si>
  <si>
    <t xml:space="preserve">Rodríguez-Mañay, L. O., Guaita-Pradas, I., &amp; Marques-Perez, I.</t>
  </si>
  <si>
    <t xml:space="preserve">The circular economy in European Union supply chains: A literature review</t>
  </si>
  <si>
    <t xml:space="preserve">Sustainable Development (en prensa)</t>
  </si>
  <si>
    <t xml:space="preserve">Revisar la economía circular en las cadenas de suministro de la UE.</t>
  </si>
  <si>
    <t xml:space="preserve">Mapea avances y vacíos de la circularidad en cadenas europeas.</t>
  </si>
  <si>
    <t xml:space="preserve">Búsqueda sistemática: cadena circular UE (eje 2).</t>
  </si>
  <si>
    <t xml:space="preserve">Rodríguez-Mañay, L. O., Guaita-Pradas, I., &amp; Marques-Perez, I. (2026). The circular economy in European Union supply chains: A literature review. Sustainable Development (en prensa). https://doi.org/10.1002/sd.70855</t>
  </si>
  <si>
    <t xml:space="preserve">https://doi.org/10.1002/sd.70855</t>
  </si>
  <si>
    <t xml:space="preserve">Theeraworawit, M., Suriyankietkaew, S., &amp; Hallinger, P.</t>
  </si>
  <si>
    <t xml:space="preserve">Sustainable supply chain management in a circular economy: A bibliometric review</t>
  </si>
  <si>
    <t xml:space="preserve">Sustainability, 14(15), 9304</t>
  </si>
  <si>
    <t xml:space="preserve">Revisar bibliométricamente la gestión sostenible de la cadena en economía circular.</t>
  </si>
  <si>
    <t xml:space="preserve">Revisión bibliométrica.</t>
  </si>
  <si>
    <t xml:space="preserve">Traza tendencias y agrupamientos del campo SSCM–CE.</t>
  </si>
  <si>
    <t xml:space="preserve">Búsqueda sistemática: SSCM–CE (eje 2).</t>
  </si>
  <si>
    <t xml:space="preserve">Theeraworawit, M., Suriyankietkaew, S., &amp; Hallinger, P. (2022). Sustainable supply chain management in a circular economy: A bibliometric review. Sustainability, 14(15), 9304. https://doi.org/10.3390/su14159304</t>
  </si>
  <si>
    <t xml:space="preserve">https://doi.org/10.3390/su14159304</t>
  </si>
  <si>
    <t xml:space="preserve">Hernandez Marquina, M. V., Le Dain, M.-A., Zwolinski, P., &amp; Joly, I.</t>
  </si>
  <si>
    <t xml:space="preserve">Sustainable performance of circular supply chains: A literature review</t>
  </si>
  <si>
    <t xml:space="preserve">Ponencia</t>
  </si>
  <si>
    <t xml:space="preserve">Procedia CIRP, 105, 607–612</t>
  </si>
  <si>
    <t xml:space="preserve">Revisar el desempeño sostenible de las cadenas de suministro circulares.</t>
  </si>
  <si>
    <t xml:space="preserve">Sintetiza métricas y retos del desempeño sostenible circular.</t>
  </si>
  <si>
    <t xml:space="preserve">Búsqueda sistemática: desempeño circular (eje 2).</t>
  </si>
  <si>
    <t xml:space="preserve">Hernandez Marquina, M. V., Le Dain, M.-A., Zwolinski, P., &amp; Joly, I. (2022). Sustainable performance of circular supply chains: A literature review. Procedia CIRP, 105, 607–612. https://doi.org/10.1016/j.procir.2022.02.101</t>
  </si>
  <si>
    <t xml:space="preserve">https://doi.org/10.1016/j.procir.2022.02.101</t>
  </si>
  <si>
    <t xml:space="preserve">Sadiq, M., Nisar, Q. A., Kautish, P., Sarma, P. R. S., &amp; Haider, S.</t>
  </si>
  <si>
    <t xml:space="preserve">From circularity to sustainability: Leveraging Industry 4.0 for circular and supply chain resilience</t>
  </si>
  <si>
    <t xml:space="preserve">Technovation, 157, 103653</t>
  </si>
  <si>
    <t xml:space="preserve">Vincular circularidad, Industria 4.0 y resiliencia de la cadena.</t>
  </si>
  <si>
    <t xml:space="preserve">Estudio empírico.</t>
  </si>
  <si>
    <t xml:space="preserve">La I4.0 habilita circularidad y resiliencia en la cadena.</t>
  </si>
  <si>
    <t xml:space="preserve">Búsqueda sistemática: I4.0–resiliencia (transversal).</t>
  </si>
  <si>
    <t xml:space="preserve">Sadiq, M., Nisar, Q. A., Kautish, P., Sarma, P. R. S., &amp; Haider, S. (2026). From circularity to sustainability: Leveraging Industry 4.0 for circular and supply chain resilience. Technovation, 157, 103653. https://doi.org/10.1016/j.technovation.2026.103653</t>
  </si>
  <si>
    <t xml:space="preserve">https://doi.org/10.1016/j.technovation.2026.103653</t>
  </si>
  <si>
    <t xml:space="preserve">Saroha, M., Garg, D., &amp; Luthra, S.</t>
  </si>
  <si>
    <t xml:space="preserve">Analyzing the circular supply chain management performance measurement framework: The modified balanced scorecard technique</t>
  </si>
  <si>
    <t xml:space="preserve">Int. J. of System Assurance Engineering and Management, 13, 951–960</t>
  </si>
  <si>
    <t xml:space="preserve">Proponer un marco de medición del desempeño de la cadena circular.</t>
  </si>
  <si>
    <t xml:space="preserve">Balanced scorecard modificado.</t>
  </si>
  <si>
    <t xml:space="preserve">Define dimensiones medibles del desempeño circular.</t>
  </si>
  <si>
    <t xml:space="preserve">Saroha, M., Garg, D., &amp; Luthra, S. (2022). Analyzing the circular supply chain management performance measurement framework: The modified balanced scorecard technique. Int. J. of System Assurance Engineering and Management, 13, 951–960. https://doi.org/10.1007/s13198-021-01482-4</t>
  </si>
  <si>
    <t xml:space="preserve">https://doi.org/10.1007/s13198-021-01482-4</t>
  </si>
  <si>
    <t xml:space="preserve">Betts, K., Gutierrez-Franco, E., &amp; Ponce-Cueto, E.</t>
  </si>
  <si>
    <t xml:space="preserve">Key metrics to measure the performance and impact of reusable packaging in circular supply chains</t>
  </si>
  <si>
    <t xml:space="preserve">Frontiers in Sustainability, 3, 910215</t>
  </si>
  <si>
    <t xml:space="preserve">Definir métricas para el empaque reutilizable en cadenas circulares.</t>
  </si>
  <si>
    <t xml:space="preserve">Estudio de métricas.</t>
  </si>
  <si>
    <t xml:space="preserve">Propone KPI para medir el impacto del empaque reutilizable.</t>
  </si>
  <si>
    <t xml:space="preserve">Búsqueda sistemática: KPI circulares (eje 1).</t>
  </si>
  <si>
    <t xml:space="preserve">Betts, K., Gutierrez-Franco, E., &amp; Ponce-Cueto, E. (2022). Key metrics to measure the performance and impact of reusable packaging in circular supply chains. Frontiers in Sustainability, 3, 910215. https://doi.org/10.3389/frsus.2022.910215</t>
  </si>
  <si>
    <t xml:space="preserve">https://doi.org/10.3389/frsus.2022.910215</t>
  </si>
  <si>
    <t xml:space="preserve">Mesbahi, Z., Pellegrini, T., &amp; Roiser, S.</t>
  </si>
  <si>
    <t xml:space="preserve">Companies in transition: Adapting to the digital product passport and the circular economy</t>
  </si>
  <si>
    <t xml:space="preserve">Intelligent Systems Reference Library, 285, 191–204</t>
  </si>
  <si>
    <t xml:space="preserve">Analizar la adaptación de las empresas al pasaporte digital de producto.</t>
  </si>
  <si>
    <t xml:space="preserve">Estudio conceptual.</t>
  </si>
  <si>
    <t xml:space="preserve">Describe la transición empresarial hacia el DPP y la circularidad.</t>
  </si>
  <si>
    <t xml:space="preserve">Búsqueda sistemática: DPP (eje 3).</t>
  </si>
  <si>
    <t xml:space="preserve">Mesbahi, Z., Pellegrini, T., &amp; Roiser, S. (2026). Companies in transition: Adapting to the digital product passport and the circular economy. Intelligent Systems Reference Library, 285, 191–204. https://doi.org/10.1007/978-3-032-24395-9_8</t>
  </si>
  <si>
    <t xml:space="preserve">https://doi.org/10.1007/978-3-032-24395-9_8</t>
  </si>
  <si>
    <t xml:space="preserve">Khan, A. A., &amp; Abonyi, J.</t>
  </si>
  <si>
    <t xml:space="preserve">Simulation of sustainable manufacturing solutions: Tools for enabling circular economy</t>
  </si>
  <si>
    <t xml:space="preserve">Sustainability, 14(15), 9796</t>
  </si>
  <si>
    <t xml:space="preserve">Revisar herramientas de simulación para la manufactura sostenible circular.</t>
  </si>
  <si>
    <t xml:space="preserve">Revisión de herramientas.</t>
  </si>
  <si>
    <t xml:space="preserve">La simulación habilita decisiones de economía circular en planta.</t>
  </si>
  <si>
    <t xml:space="preserve">Búsqueda sistemática: manufactura circular (eje 1).</t>
  </si>
  <si>
    <t xml:space="preserve">Khan, A. A., &amp; Abonyi, J. (2022). Simulation of sustainable manufacturing solutions: Tools for enabling circular economy. Sustainability, 14(15), 9796. https://doi.org/10.3390/su14159796</t>
  </si>
  <si>
    <t xml:space="preserve">https://doi.org/10.3390/su14159796</t>
  </si>
  <si>
    <t xml:space="preserve">Li, Z., Han, X., &amp; Zhang, T.</t>
  </si>
  <si>
    <t xml:space="preserve">Economic and environmental trade-offs in circular food systems</t>
  </si>
  <si>
    <t xml:space="preserve">Journal of Cleaner Production, 572, 148878</t>
  </si>
  <si>
    <t xml:space="preserve">Analizar trade-offs económicos y ambientales en sistemas circulares.</t>
  </si>
  <si>
    <t xml:space="preserve">Modelado.</t>
  </si>
  <si>
    <t xml:space="preserve">Cuantifica tensiones entre producción limpia y consumo responsable.</t>
  </si>
  <si>
    <t xml:space="preserve">Búsqueda sistemática: trade-offs circulares (eje 1).</t>
  </si>
  <si>
    <t xml:space="preserve">Li, Z., Han, X., &amp; Zhang, T. (2026). Economic and environmental trade-offs in circular food systems. Journal of Cleaner Production, 572, 148878. https://doi.org/10.1016/j.jclepro.2026.148878</t>
  </si>
  <si>
    <t xml:space="preserve">https://doi.org/10.1016/j.jclepro.2026.148878</t>
  </si>
  <si>
    <t xml:space="preserve">Roy, M., Maruf, N., &amp; Salimullah, A. H. M.</t>
  </si>
  <si>
    <t xml:space="preserve">Exploring the synergy of green manufacturing, sustainable supply chains, and circular economy</t>
  </si>
  <si>
    <t xml:space="preserve">Sustainable Supply Chain Management, 111–123</t>
  </si>
  <si>
    <t xml:space="preserve">Revisar la sinergia entre manufactura verde, cadena sostenible y CE.</t>
  </si>
  <si>
    <t xml:space="preserve">Integra estrategias, retos y oportunidades de los tres campos.</t>
  </si>
  <si>
    <t xml:space="preserve">Búsqueda sistemática: síntesis integradora (eje 2).</t>
  </si>
  <si>
    <t xml:space="preserve">Roy, M., Maruf, N., &amp; Salimullah, A. H. M. (2026). Exploring the synergy of green manufacturing, sustainable supply chains, and circular economy. Sustainable Supply Chain Management, 111–123. https://doi.org/10.1201/9781003770008-12</t>
  </si>
  <si>
    <t xml:space="preserve">https://doi.org/10.1201/9781003770008-12</t>
  </si>
  <si>
    <t xml:space="preserve">Iyiola, K.</t>
  </si>
  <si>
    <t xml:space="preserve">Circular economy entrepreneurship as a pillar of circular supply chain sustainability</t>
  </si>
  <si>
    <t xml:space="preserve">Journal of Circular Economy, 3(4), 23–49</t>
  </si>
  <si>
    <t xml:space="preserve">Analizar el emprendimiento circular y la política net zero en la cadena.</t>
  </si>
  <si>
    <t xml:space="preserve">La capacidad circular y el net zero sostienen la cadena circular.</t>
  </si>
  <si>
    <t xml:space="preserve">Búsqueda sistemática: capacidad circular (eje 2).</t>
  </si>
  <si>
    <t xml:space="preserve">Iyiola, K. (2026). Circular economy entrepreneurship as a pillar of circular supply chain sustainability. Journal of Circular Economy, 3(4), 23–49. https://doi.org/10.55845/joce-2026-34249</t>
  </si>
  <si>
    <t xml:space="preserve">https://doi.org/10.55845/joce-2026-34249</t>
  </si>
  <si>
    <t xml:space="preserve">Pourjafarian, M., Farrukh, A., Rezapour, M., Plociennik, C., &amp; Ruskowski, M.</t>
  </si>
  <si>
    <t xml:space="preserve">Integration of product circularity indicators into the digital product passport based on the asset administration shell</t>
  </si>
  <si>
    <t xml:space="preserve">Procedia Computer Science, 277, 3297–3306</t>
  </si>
  <si>
    <t xml:space="preserve">Integrar indicadores de circularidad en el DPP mediante el Asset Administration Shell.</t>
  </si>
  <si>
    <t xml:space="preserve">Prueba de concepto.</t>
  </si>
  <si>
    <t xml:space="preserve">Demuestra la integración técnica de indicadores en el pasaporte.</t>
  </si>
  <si>
    <t xml:space="preserve">Búsqueda sistemática: DPP + indicadores (eje 3).</t>
  </si>
  <si>
    <t xml:space="preserve">Pourjafarian, M., Farrukh, A., Rezapour, M., Plociennik, C., &amp; Ruskowski, M. (2026). Integration of product circularity indicators into the digital product passport based on the asset administration shell. Procedia Computer Science, 277, 3297–3306. https://doi.org/10.1016/j.procs.2026.02.366</t>
  </si>
  <si>
    <t xml:space="preserve">https://doi.org/10.1016/j.procs.2026.02.366</t>
  </si>
  <si>
    <t xml:space="preserve">Jadallah, N. I., Dudin, F. E., &amp; Awwad, B.</t>
  </si>
  <si>
    <t xml:space="preserve">From linear to circular: Supply chain business models for a regenerative economy</t>
  </si>
  <si>
    <t xml:space="preserve">Contributions to Environmental Sciences and Innovative Business Technology, 95–110</t>
  </si>
  <si>
    <t xml:space="preserve">Proponer modelos de negocio de cadena para una economía regenerativa.</t>
  </si>
  <si>
    <t xml:space="preserve">Transita de modelos lineales a circulares regenerativos.</t>
  </si>
  <si>
    <t xml:space="preserve">Búsqueda sistemática: modelos de negocio (eje 1).</t>
  </si>
  <si>
    <t xml:space="preserve">Jadallah, N. I., Dudin, F. E., &amp; Awwad, B. (2026). From linear to circular: Supply chain business models for a regenerative economy. Contributions to Environmental Sciences and Innovative Business Technology, 95–110. https://doi.org/10.1007/978-981-95-6469-9_8</t>
  </si>
  <si>
    <t xml:space="preserve">https://doi.org/10.1007/978-981-95-6469-9_8</t>
  </si>
  <si>
    <t xml:space="preserve">Behera, U. S., &amp; Poddar, S.</t>
  </si>
  <si>
    <t xml:space="preserve">Introduction to circular economy in the manufacturing sector</t>
  </si>
  <si>
    <t xml:space="preserve">Manufacturing and the Circular Economy, 1–33</t>
  </si>
  <si>
    <t xml:space="preserve">Introducir la economía circular en el sector manufacturero.</t>
  </si>
  <si>
    <t xml:space="preserve">Capítulo introductorio.</t>
  </si>
  <si>
    <t xml:space="preserve">Encuadra conceptos y estrategias circulares en manufactura.</t>
  </si>
  <si>
    <t xml:space="preserve">Búsqueda sistemática: marco CE manufactura (eje 1).</t>
  </si>
  <si>
    <t xml:space="preserve">Behera, U. S., &amp; Poddar, S. (2026). Introduction to circular economy in the manufacturing sector. Manufacturing and the Circular Economy, 1–33.</t>
  </si>
  <si>
    <t xml:space="preserve">Singh, R., Leal, W., Kumar, V., &amp; Ali, A.</t>
  </si>
  <si>
    <t xml:space="preserve">Global best practices in tech driven sustainability: Smart CE and manufacturing sector</t>
  </si>
  <si>
    <t xml:space="preserve">World Sustainability Series, F1465, 3–18</t>
  </si>
  <si>
    <t xml:space="preserve">Recopilar buenas prácticas de sostenibilidad tecnológica y CE inteligente.</t>
  </si>
  <si>
    <t xml:space="preserve">Estudio de casos/buenas prácticas.</t>
  </si>
  <si>
    <t xml:space="preserve">Documenta prácticas tecnológicas para la CE en manufactura.</t>
  </si>
  <si>
    <t xml:space="preserve">Búsqueda sistemática: smart CE (eje 1).</t>
  </si>
  <si>
    <t xml:space="preserve">Singh, R., Leal, W., Kumar, V., &amp; Ali, A. (2026). Global best practices in tech driven sustainability: Smart CE and manufacturing sector. World Sustainability Series, F1465, 3–18. https://doi.org/10.1007/978-3-032-13412-7_1</t>
  </si>
  <si>
    <t xml:space="preserve">https://doi.org/10.1007/978-3-032-13412-7_1</t>
  </si>
  <si>
    <t xml:space="preserve">Falih, S., Echefaj, K., Cherrafi, A., &amp; Charkaoui, A.</t>
  </si>
  <si>
    <t xml:space="preserve">Conceptualizing the synergies between circular economy and operational excellence in the era of Industry 5.0</t>
  </si>
  <si>
    <t xml:space="preserve">Lecture Notes in Networks and Systems, 1840, 155–163</t>
  </si>
  <si>
    <t xml:space="preserve">Conceptualizar sinergias entre CE y excelencia operacional en la Industria 5.0.</t>
  </si>
  <si>
    <t xml:space="preserve">Vincula circularidad y excelencia operacional bajo la I5.0.</t>
  </si>
  <si>
    <t xml:space="preserve">Búsqueda sistemática: I5.0 (transversal).</t>
  </si>
  <si>
    <t xml:space="preserve">Falih, S., Echefaj, K., Cherrafi, A., &amp; Charkaoui, A. (2026). Conceptualizing the synergies between circular economy and operational excellence in the era of Industry 5.0. Lecture Notes in Networks and Systems, 1840, 155–163. https://doi.org/10.1007/978-3-032-18548-8_13</t>
  </si>
  <si>
    <t xml:space="preserve">https://doi.org/10.1007/978-3-032-18548-8_13</t>
  </si>
  <si>
    <t xml:space="preserve">Pawar, P. S., &amp; Alsedais, B. A.</t>
  </si>
  <si>
    <t xml:space="preserve">Building sustainable supply chain resilience through digitalisation and circular practices: Evidence from emerging economies</t>
  </si>
  <si>
    <t xml:space="preserve">Sustainability, 18(3), 1393</t>
  </si>
  <si>
    <t xml:space="preserve">Analizar resiliencia de la cadena vía digitalización y prácticas circulares.</t>
  </si>
  <si>
    <t xml:space="preserve">La digitalización y la circularidad refuerzan la resiliencia de la cadena.</t>
  </si>
  <si>
    <t xml:space="preserve">Búsqueda sistemática: resiliencia (eje 2).</t>
  </si>
  <si>
    <t xml:space="preserve">Pawar, P. S., &amp; Alsedais, B. A. (2026). Building sustainable supply chain resilience through digitalisation and circular practices: Evidence from emerging economies. Sustainability, 18(3), 1393. https://doi.org/10.3390/su18031393</t>
  </si>
  <si>
    <t xml:space="preserve">https://doi.org/10.3390/su18031393</t>
  </si>
  <si>
    <t xml:space="preserve">Panagiotopoulou, V. C., Giannoulis, C., &amp; Stavropoulos, P.</t>
  </si>
  <si>
    <t xml:space="preserve">Supply chain optimisation algorithm based on circular economy and sustainability criteria for repairing processes</t>
  </si>
  <si>
    <t xml:space="preserve">Procedia CIRP, 146, 150–153</t>
  </si>
  <si>
    <t xml:space="preserve">Optimizar la cadena para procesos de reparación con criterios circulares.</t>
  </si>
  <si>
    <t xml:space="preserve">Algoritmo de optimización.</t>
  </si>
  <si>
    <t xml:space="preserve">Propone un algoritmo que prioriza reparación y sostenibilidad.</t>
  </si>
  <si>
    <t xml:space="preserve">Búsqueda sistemática: optimización circular (eje 2).</t>
  </si>
  <si>
    <t xml:space="preserve">Panagiotopoulou, V. C., Giannoulis, C., &amp; Stavropoulos, P. (2026). Supply chain optimisation algorithm based on circular economy and sustainability criteria for repairing processes. Procedia CIRP, 146, 150–153. https://doi.org/10.1016/j.procir.2026.03.210</t>
  </si>
  <si>
    <t xml:space="preserve">https://doi.org/10.1016/j.procir.2026.03.210</t>
  </si>
  <si>
    <t xml:space="preserve">Lahane, S., &amp; Kant, R.</t>
  </si>
  <si>
    <t xml:space="preserve">Investigating the sustainable development goals derived due to adoption of circular economy practices</t>
  </si>
  <si>
    <t xml:space="preserve">Waste Management, 143, 1–14</t>
  </si>
  <si>
    <t xml:space="preserve">Relacionar las prácticas circulares con los ODS.</t>
  </si>
  <si>
    <t xml:space="preserve">La adopción de prácticas circulares contribuye a varios ODS.</t>
  </si>
  <si>
    <t xml:space="preserve">Búsqueda sistemática: CE y ODS (eje 1).</t>
  </si>
  <si>
    <t xml:space="preserve">Lahane, S., &amp; Kant, R. (2022). Investigating the sustainable development goals derived due to adoption of circular economy practices. Waste Management, 143, 1–14. https://doi.org/10.1016/j.wasman.2022.02.016</t>
  </si>
  <si>
    <t xml:space="preserve">https://doi.org/10.1016/j.wasman.2022.02.016</t>
  </si>
  <si>
    <t xml:space="preserve">Akram, H. W.</t>
  </si>
  <si>
    <t xml:space="preserve">Closed-loop and circular supply chains: A meta-review of reverse logistics, product lifecycle and zero-waste strategies</t>
  </si>
  <si>
    <t xml:space="preserve">Int. J. of Industrial Engineering and Operations Management (en prensa)</t>
  </si>
  <si>
    <t xml:space="preserve">Meta-revisar circuitos cerrados, logística inversa y estrategias cero residuos.</t>
  </si>
  <si>
    <t xml:space="preserve">Meta-revisión.</t>
  </si>
  <si>
    <t xml:space="preserve">Sintetiza el estado del arte de las cadenas de circuito cerrado.</t>
  </si>
  <si>
    <t xml:space="preserve">Búsqueda sistemática: circuito cerrado (eje 2).</t>
  </si>
  <si>
    <t xml:space="preserve">Akram, H. W. (2026). Closed-loop and circular supply chains: A meta-review of reverse logistics, product lifecycle and zero-waste strategies. Int. J. of Industrial Engineering and Operations Management (en prensa). https://doi.org/10.1108/IJIEOM-10-2025-0257</t>
  </si>
  <si>
    <t xml:space="preserve">https://doi.org/10.1108/IJIEOM-10-2025-0257</t>
  </si>
  <si>
    <t xml:space="preserve">Feng, K., Ning, W., Peng, Y., &amp; Zhang, S.</t>
  </si>
  <si>
    <t xml:space="preserve">Intelligent sustainable development management in circular economy supply chains: A deep learning and multi-objective optimization framework</t>
  </si>
  <si>
    <t xml:space="preserve">Rev. Int. de Métodos Numéricos, 42(2)</t>
  </si>
  <si>
    <t xml:space="preserve">Proponer un marco de IA para gestionar cadenas circulares.</t>
  </si>
  <si>
    <t xml:space="preserve">Deep learning + optimización multiobjetivo.</t>
  </si>
  <si>
    <t xml:space="preserve">Optimiza decisiones sostenibles en cadenas circulares.</t>
  </si>
  <si>
    <t xml:space="preserve">Búsqueda sistemática: IA en cadena circular (eje 2).</t>
  </si>
  <si>
    <t xml:space="preserve">Feng, K., Ning, W., Peng, Y., &amp; Zhang, S. (2026). Intelligent sustainable development management in circular economy supply chains: A deep learning and multi-objective optimization framework. Rev. Int. de Métodos Numéricos, 42(2). https://doi.org/10.23967/j.rimni.2025.10.73877</t>
  </si>
  <si>
    <t xml:space="preserve">https://doi.org/10.23967/j.rimni.2025.10.73877</t>
  </si>
  <si>
    <t xml:space="preserve">Shahzad, F., Ben Zaied, Y., &amp; Zhang, Q.</t>
  </si>
  <si>
    <t xml:space="preserve">Integrating Industry 4.0 technologies into green supply chains: An empirical investigation of pathways to green innovation and circular economy</t>
  </si>
  <si>
    <t xml:space="preserve">Int. J. of Production Economics, 291, 109859</t>
  </si>
  <si>
    <t xml:space="preserve">Investigar la integración de la I4.0 en cadenas verdes.</t>
  </si>
  <si>
    <t xml:space="preserve">La I4.0 impulsa innovación verde y economía circular en la cadena.</t>
  </si>
  <si>
    <t xml:space="preserve">Búsqueda sistemática: I4.0–green SC (eje 2).</t>
  </si>
  <si>
    <t xml:space="preserve">Shahzad, F., Ben Zaied, Y., &amp; Zhang, Q. (2026). Integrating Industry 4.0 technologies into green supply chains: An empirical investigation of pathways to green innovation and circular economy. Int. J. of Production Economics, 291, 109859. https://doi.org/10.1016/j.ijpe.2025.109859</t>
  </si>
  <si>
    <t xml:space="preserve">https://doi.org/10.1016/j.ijpe.2025.109859</t>
  </si>
  <si>
    <t xml:space="preserve">Sahidu Jawula Mandego, A., Owusu Kwateng, K., Tetteh, F. K., &amp; Manu, D.</t>
  </si>
  <si>
    <t xml:space="preserve">Circular economy capability and supply chain sustainability: The roles of green orientation and technology orientation</t>
  </si>
  <si>
    <t xml:space="preserve">Int. J. of Logistics Management (en prensa)</t>
  </si>
  <si>
    <t xml:space="preserve">Analizar la capacidad circular y la sostenibilidad de la cadena.</t>
  </si>
  <si>
    <t xml:space="preserve">La orientación verde y tecnológica potencian la capacidad circular.</t>
  </si>
  <si>
    <t xml:space="preserve">Sahidu Jawula Mandego, A., Owusu Kwateng, K., Tetteh, F. K., &amp; Manu, D. (2026). Circular economy capability and supply chain sustainability: The roles of green orientation and technology orientation. Int. J. of Logistics Management (en prensa). https://doi.org/10.1108/IJLM-07-2025-0455</t>
  </si>
  <si>
    <t xml:space="preserve">https://doi.org/10.1108/IJLM-07-2025-0455</t>
  </si>
  <si>
    <t xml:space="preserve">Resumen de control (se calcula solo)</t>
  </si>
  <si>
    <t xml:space="preserve">Total de referencias cargadas</t>
  </si>
  <si>
    <t xml:space="preserve">Referencias de los últimos 5 años (2021–2026)</t>
  </si>
  <si>
    <t xml:space="preserve">% de los últimos 5 años</t>
  </si>
  <si>
    <t xml:space="preserve">Meta de la rúbrica: mínimo 50 referencias</t>
  </si>
  <si>
    <t xml:space="preserve">Meta de la rúbrica: ≥ 60% recientes</t>
  </si>
  <si>
    <t xml:space="preserve">Nota: el % y los contadores incluyen las filas que agregues. Recuerda que las fuentes seminales (anteriores a 2021) son válidas como marco, pero no cuentan para el 60% de actualidad.</t>
  </si>
  <si>
    <t xml:space="preserve">Registros identificados en SciELO y excluidos en el cribado (fuera del foco temático)</t>
  </si>
  <si>
    <t xml:space="preserve">Búsqueda en SciELO (search.scielo.org), período 2022–2026. Los 15 registros se excluyeron por tratar temas ajenos a la manufactura y la economía circular. Se documentan aquí para la trazabilidad PRISMA.</t>
  </si>
  <si>
    <t xml:space="preserve">Revista</t>
  </si>
  <si>
    <t xml:space="preserve">Idioma</t>
  </si>
  <si>
    <t xml:space="preserve">Estado y motivo de exclusión</t>
  </si>
  <si>
    <t xml:space="preserve">Fernandes, F. F., &amp; Trevisan Fossá, M. I.</t>
  </si>
  <si>
    <t xml:space="preserve">Tensões epistemológicas entre o popular e o comunitário em contextos de desastres climáticos: o caso do projeto Caminhos de Ivorá (Brasil)</t>
  </si>
  <si>
    <t xml:space="preserve">SciELO</t>
  </si>
  <si>
    <t xml:space="preserve">Palabra Clave</t>
  </si>
  <si>
    <t xml:space="preserve">pt/es/en</t>
  </si>
  <si>
    <t xml:space="preserve">https://doi.org/10.5294/pacla.2026.29.s2.2</t>
  </si>
  <si>
    <t xml:space="preserve">Excluido: comunicación comunitaria (fuera de tema)</t>
  </si>
  <si>
    <t xml:space="preserve">López Gómez, S., Garzón Molina, I., &amp; Oliveira, A.</t>
  </si>
  <si>
    <t xml:space="preserve">Communication, citizen participation, and climate activism: A bibliometric and narrative review (2014–2024)</t>
  </si>
  <si>
    <t xml:space="preserve">en/es/pt</t>
  </si>
  <si>
    <t xml:space="preserve">https://doi.org/10.5294/pacla.2026.29.s2.1</t>
  </si>
  <si>
    <t xml:space="preserve">Excluido: comunicación/activismo climático (fuera de tema)</t>
  </si>
  <si>
    <t xml:space="preserve">Rocío Tarcila, V. D., Cueva Vásquez De Rojas, E. M., &amp; Sánchez Méndez, A. S.</t>
  </si>
  <si>
    <t xml:space="preserve">Gestión administrativa en el manejo de hospitales</t>
  </si>
  <si>
    <t xml:space="preserve">e-Rev. Multidisc. del Saber</t>
  </si>
  <si>
    <t xml:space="preserve">es</t>
  </si>
  <si>
    <t xml:space="preserve">https://doi.org/10.61286/e-rms.v4i.346</t>
  </si>
  <si>
    <t xml:space="preserve">Excluido: gestión hospitalaria (fuera de tema)</t>
  </si>
  <si>
    <t xml:space="preserve">Feria Guerrero de Infantes, A. del C.</t>
  </si>
  <si>
    <t xml:space="preserve">Estrategia de calidad ambiental para potenciar la responsabilidad ecológica en la primera infancia (Tumbes, Perú)</t>
  </si>
  <si>
    <t xml:space="preserve">https://doi.org/10.61286/e-rms.v4i.332</t>
  </si>
  <si>
    <t xml:space="preserve">Excluido: educación infantil (fuera de tema)</t>
  </si>
  <si>
    <t xml:space="preserve">González Sysak, S., &amp; Güeres Velásquez, R.</t>
  </si>
  <si>
    <t xml:space="preserve">Cambio climático y calentamiento global en la emergencia y reemergencia de parásitos y enfermedades parasitarias</t>
  </si>
  <si>
    <t xml:space="preserve">https://doi.org/10.61286/e-rms.v4i.348</t>
  </si>
  <si>
    <t xml:space="preserve">Excluido: salud/parasitología (fuera de tema)</t>
  </si>
  <si>
    <t xml:space="preserve">Guzmán Zúñiga, E. H., Guzmán Zúñiga, E. N., &amp; Flores-Poma, I.</t>
  </si>
  <si>
    <t xml:space="preserve">Competencias directivas y desempeño docente en la satisfacción de los padres de familia</t>
  </si>
  <si>
    <t xml:space="preserve">https://doi.org/10.61286/e-rms.v4i.353</t>
  </si>
  <si>
    <t xml:space="preserve">Excluido: educación (fuera de tema)</t>
  </si>
  <si>
    <t xml:space="preserve">Domínguez-Zúñiga, W. M., et al.</t>
  </si>
  <si>
    <t xml:space="preserve">Hacia una agricultura resiliente: sistemas de riego subfoliar y goteo como estrategia de desarrollo rural (Guayas)</t>
  </si>
  <si>
    <t xml:space="preserve">https://doi.org/10.61286/e-rms.v4i.365</t>
  </si>
  <si>
    <t xml:space="preserve">Excluido: agricultura/riego (fuera de tema)</t>
  </si>
  <si>
    <t xml:space="preserve">Tomaylla Arostegui, M. E., &amp; Tomaylla Arostegui, A. C.</t>
  </si>
  <si>
    <t xml:space="preserve">Importancia jurídica de la evaluación psicológica forense en casos de violencia sexual contra menores (Perú)</t>
  </si>
  <si>
    <t xml:space="preserve">https://doi.org/10.61286/e-rms.v4i.357</t>
  </si>
  <si>
    <t xml:space="preserve">Excluido: derecho/psicología forense (fuera de tema)</t>
  </si>
  <si>
    <t xml:space="preserve">Romero Palmera, J. A.</t>
  </si>
  <si>
    <t xml:space="preserve">Entre saberes en la era de la inteligencia artificial aumentada</t>
  </si>
  <si>
    <t xml:space="preserve">https://doi.org/10.61286/e-rms.v4i.322</t>
  </si>
  <si>
    <t xml:space="preserve">Excluido: educación/IA (fuera de tema)</t>
  </si>
  <si>
    <t xml:space="preserve">Bazalar-Hoces, M. A., et al.</t>
  </si>
  <si>
    <t xml:space="preserve">Competencias digitales docentes y enseñanza-aprendizaje en instituciones educativas primarias (Huancavelica)</t>
  </si>
  <si>
    <t xml:space="preserve">https://doi.org/10.61286/e-rms.v4i.331</t>
  </si>
  <si>
    <t xml:space="preserve">Cárdenas-Arango, R. C., et al.</t>
  </si>
  <si>
    <t xml:space="preserve">Estilos de liderazgo y gestión de decisiones en la administración municipal provincial peruana</t>
  </si>
  <si>
    <t xml:space="preserve">https://doi.org/10.61286/e-rms.v4i.347</t>
  </si>
  <si>
    <t xml:space="preserve">Excluido: gestión pública (fuera de tema)</t>
  </si>
  <si>
    <t xml:space="preserve">Torres Lopez, C. A., et al.</t>
  </si>
  <si>
    <t xml:space="preserve">Brechas entre la formación universitaria y las demandas del mercado laboral en ingeniería y arquitectura</t>
  </si>
  <si>
    <t xml:space="preserve">https://doi.org/10.61286/e-rms.v4i.323</t>
  </si>
  <si>
    <t xml:space="preserve">Excluido: educación superior (fuera de tema)</t>
  </si>
  <si>
    <t xml:space="preserve">Ramírez Fernández, R., Miranda-Passo, J. C., &amp; Zavala Torres, J. P.</t>
  </si>
  <si>
    <t xml:space="preserve">Viabilidad económica y técnica de paneles solares en una institución de educación superior</t>
  </si>
  <si>
    <t xml:space="preserve">https://doi.org/10.61286/e-rms.v4i.270</t>
  </si>
  <si>
    <t xml:space="preserve">Excluido: energía solar en campus (fuera de tema)</t>
  </si>
  <si>
    <t xml:space="preserve">Donoso Gormaz, G.</t>
  </si>
  <si>
    <t xml:space="preserve">La evaluación formativa: un pilar para la equidad y el éxito en la educación superior vespertina</t>
  </si>
  <si>
    <t xml:space="preserve">https://doi.org/10.61286/e-rms.v4i.242</t>
  </si>
  <si>
    <t xml:space="preserve">Guzmán Zúñiga, E. N., Guzmán Zúñiga, E. H., &amp; Flores-Poma, I.</t>
  </si>
  <si>
    <t xml:space="preserve">Material no estructurado y motricidad fina en niños de 4 y 5 años</t>
  </si>
  <si>
    <t xml:space="preserve">https://doi.org/10.61286/e-rms.v4i.356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</si>
</sst>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B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B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B5B"/>
        <bgColor rgb="FF003366"/>
      </patternFill>
    </fill>
    <fill>
      <patternFill patternType="solid">
        <fgColor rgb="FFF2F2F2"/>
        <bgColor rgb="FFFFF9D9"/>
      </patternFill>
    </fill>
    <fill>
      <patternFill patternType="solid">
        <fgColor rgb="FFFFF9D9"/>
        <bgColor rgb="FFF2F2F2"/>
      </patternFill>
    </fill>
    <fill>
      <patternFill patternType="solid">
        <fgColor rgb="FFFCE4E4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B5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9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4"/>
    </row>
    <row r="6" customFormat="false" ht="15" hidden="false" customHeight="false" outlineLevel="0" collapsed="false">
      <c r="B6" s="5" t="s">
        <v>2</v>
      </c>
      <c r="C6" s="6"/>
    </row>
    <row r="7" customFormat="false" ht="23.85" hidden="false" customHeight="false" outlineLevel="0" collapsed="false">
      <c r="B7" s="3"/>
      <c r="C7" s="4" t="s">
        <v>3</v>
      </c>
    </row>
    <row r="8" customFormat="false" ht="15" hidden="false" customHeight="false" outlineLevel="0" collapsed="false">
      <c r="B8" s="3"/>
      <c r="C8" s="4"/>
    </row>
    <row r="9" customFormat="false" ht="15" hidden="false" customHeight="false" outlineLevel="0" collapsed="false">
      <c r="B9" s="5" t="s">
        <v>4</v>
      </c>
      <c r="C9" s="6"/>
    </row>
    <row r="10" customFormat="false" ht="23.85" hidden="false" customHeight="false" outlineLevel="0" collapsed="false">
      <c r="B10" s="3" t="s">
        <v>5</v>
      </c>
      <c r="C10" s="4" t="s">
        <v>6</v>
      </c>
    </row>
    <row r="11" customFormat="false" ht="35.05" hidden="false" customHeight="false" outlineLevel="0" collapsed="false">
      <c r="B11" s="3" t="s">
        <v>7</v>
      </c>
      <c r="C11" s="4" t="s">
        <v>8</v>
      </c>
    </row>
    <row r="12" customFormat="false" ht="23.85" hidden="false" customHeight="false" outlineLevel="0" collapsed="false">
      <c r="B12" s="3" t="s">
        <v>9</v>
      </c>
      <c r="C12" s="4" t="s">
        <v>10</v>
      </c>
    </row>
    <row r="13" customFormat="false" ht="15" hidden="false" customHeight="false" outlineLevel="0" collapsed="false">
      <c r="B13" s="3" t="s">
        <v>11</v>
      </c>
      <c r="C13" s="4" t="s">
        <v>12</v>
      </c>
    </row>
    <row r="14" customFormat="false" ht="15" hidden="false" customHeight="false" outlineLevel="0" collapsed="false">
      <c r="B14" s="3" t="s">
        <v>13</v>
      </c>
      <c r="C14" s="4" t="s">
        <v>14</v>
      </c>
    </row>
    <row r="15" customFormat="false" ht="15" hidden="false" customHeight="false" outlineLevel="0" collapsed="false">
      <c r="B15" s="3"/>
      <c r="C15" s="4"/>
    </row>
    <row r="16" customFormat="false" ht="15" hidden="false" customHeight="false" outlineLevel="0" collapsed="false">
      <c r="B16" s="5" t="s">
        <v>15</v>
      </c>
      <c r="C16" s="6"/>
    </row>
    <row r="17" customFormat="false" ht="15" hidden="false" customHeight="false" outlineLevel="0" collapsed="false">
      <c r="B17" s="3" t="s">
        <v>16</v>
      </c>
      <c r="C17" s="4" t="s">
        <v>17</v>
      </c>
    </row>
    <row r="18" customFormat="false" ht="15" hidden="false" customHeight="false" outlineLevel="0" collapsed="false">
      <c r="B18" s="3" t="s">
        <v>16</v>
      </c>
      <c r="C18" s="4" t="s">
        <v>18</v>
      </c>
    </row>
    <row r="19" customFormat="false" ht="23.85" hidden="false" customHeight="false" outlineLevel="0" collapsed="false">
      <c r="B19" s="3" t="s">
        <v>16</v>
      </c>
      <c r="C19" s="4" t="s">
        <v>19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B21" s="5" t="s">
        <v>20</v>
      </c>
      <c r="C21" s="6"/>
    </row>
    <row r="22" customFormat="false" ht="35.05" hidden="false" customHeight="false" outlineLevel="0" collapsed="false">
      <c r="B22" s="3"/>
      <c r="C22" s="4" t="s">
        <v>21</v>
      </c>
    </row>
    <row r="23" customFormat="false" ht="15" hidden="false" customHeight="false" outlineLevel="0" collapsed="false">
      <c r="B23" s="3"/>
      <c r="C23" s="4"/>
    </row>
    <row r="24" customFormat="false" ht="15" hidden="false" customHeight="false" outlineLevel="0" collapsed="false">
      <c r="B24" s="5" t="s">
        <v>22</v>
      </c>
      <c r="C24" s="6"/>
    </row>
    <row r="25" customFormat="false" ht="23.85" hidden="false" customHeight="false" outlineLevel="0" collapsed="false">
      <c r="B25" s="3"/>
      <c r="C25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2" min="11" style="0" width="40"/>
    <col collapsed="false" customWidth="true" hidden="false" outlineLevel="0" max="13" min="13" style="0" width="12"/>
    <col collapsed="false" customWidth="true" hidden="false" outlineLevel="0" max="14" min="14" style="0" width="52"/>
    <col collapsed="false" customWidth="true" hidden="false" outlineLevel="0" max="15" min="15" style="0" width="34"/>
  </cols>
  <sheetData>
    <row r="1" customFormat="false" ht="33.75" hidden="false" customHeight="true" outlineLevel="0" collapsed="false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7" t="s">
        <v>36</v>
      </c>
      <c r="N1" s="7" t="s">
        <v>37</v>
      </c>
      <c r="O1" s="7" t="s">
        <v>38</v>
      </c>
    </row>
    <row r="2" customFormat="false" ht="57.75" hidden="false" customHeight="true" outlineLevel="0" collapsed="false">
      <c r="A2" s="8" t="n">
        <v>1</v>
      </c>
      <c r="B2" s="9" t="s">
        <v>39</v>
      </c>
      <c r="C2" s="8" t="n">
        <v>2021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8" t="str">
        <f aca="false">IF(C2="","",IF(C2&gt;=2021,"Sí","No"))</f>
        <v>Sí</v>
      </c>
      <c r="N2" s="9" t="s">
        <v>49</v>
      </c>
      <c r="O2" s="9" t="s">
        <v>50</v>
      </c>
    </row>
    <row r="3" customFormat="false" ht="57.75" hidden="false" customHeight="true" outlineLevel="0" collapsed="false">
      <c r="A3" s="10" t="n">
        <v>2</v>
      </c>
      <c r="B3" s="11" t="s">
        <v>51</v>
      </c>
      <c r="C3" s="10" t="n">
        <v>2020</v>
      </c>
      <c r="D3" s="11" t="s">
        <v>52</v>
      </c>
      <c r="E3" s="11" t="s">
        <v>41</v>
      </c>
      <c r="F3" s="11" t="s">
        <v>42</v>
      </c>
      <c r="G3" s="11" t="s">
        <v>53</v>
      </c>
      <c r="H3" s="11" t="s">
        <v>54</v>
      </c>
      <c r="I3" s="11" t="s">
        <v>55</v>
      </c>
      <c r="J3" s="11" t="s">
        <v>56</v>
      </c>
      <c r="K3" s="11" t="s">
        <v>57</v>
      </c>
      <c r="L3" s="11" t="s">
        <v>58</v>
      </c>
      <c r="M3" s="10" t="str">
        <f aca="false">IF(C3="","",IF(C3&gt;=2021,"Sí","No"))</f>
        <v>No</v>
      </c>
      <c r="N3" s="11" t="s">
        <v>59</v>
      </c>
      <c r="O3" s="11" t="s">
        <v>60</v>
      </c>
    </row>
    <row r="4" customFormat="false" ht="57.75" hidden="false" customHeight="true" outlineLevel="0" collapsed="false">
      <c r="A4" s="8" t="n">
        <v>3</v>
      </c>
      <c r="B4" s="9" t="s">
        <v>61</v>
      </c>
      <c r="C4" s="8" t="n">
        <v>2022</v>
      </c>
      <c r="D4" s="9" t="s">
        <v>62</v>
      </c>
      <c r="E4" s="9" t="s">
        <v>41</v>
      </c>
      <c r="F4" s="9" t="s">
        <v>42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8" t="str">
        <f aca="false">IF(C4="","",IF(C4&gt;=2021,"Sí","No"))</f>
        <v>Sí</v>
      </c>
      <c r="N4" s="9" t="s">
        <v>69</v>
      </c>
      <c r="O4" s="9" t="s">
        <v>70</v>
      </c>
    </row>
    <row r="5" customFormat="false" ht="57.75" hidden="false" customHeight="true" outlineLevel="0" collapsed="false">
      <c r="A5" s="10" t="n">
        <v>4</v>
      </c>
      <c r="B5" s="11" t="s">
        <v>71</v>
      </c>
      <c r="C5" s="10" t="n">
        <v>2016</v>
      </c>
      <c r="D5" s="11" t="s">
        <v>72</v>
      </c>
      <c r="E5" s="11" t="s">
        <v>41</v>
      </c>
      <c r="F5" s="11" t="s">
        <v>42</v>
      </c>
      <c r="G5" s="11" t="s">
        <v>73</v>
      </c>
      <c r="H5" s="11" t="s">
        <v>74</v>
      </c>
      <c r="I5" s="11" t="s">
        <v>75</v>
      </c>
      <c r="J5" s="11" t="s">
        <v>76</v>
      </c>
      <c r="K5" s="11" t="s">
        <v>77</v>
      </c>
      <c r="L5" s="11" t="s">
        <v>78</v>
      </c>
      <c r="M5" s="10" t="str">
        <f aca="false">IF(C5="","",IF(C5&gt;=2021,"Sí","No"))</f>
        <v>No</v>
      </c>
      <c r="N5" s="11" t="s">
        <v>79</v>
      </c>
      <c r="O5" s="11" t="s">
        <v>80</v>
      </c>
    </row>
    <row r="6" customFormat="false" ht="57.75" hidden="false" customHeight="true" outlineLevel="0" collapsed="false">
      <c r="A6" s="8" t="n">
        <v>5</v>
      </c>
      <c r="B6" s="9" t="s">
        <v>81</v>
      </c>
      <c r="C6" s="8" t="n">
        <v>2008</v>
      </c>
      <c r="D6" s="9" t="s">
        <v>82</v>
      </c>
      <c r="E6" s="9" t="s">
        <v>41</v>
      </c>
      <c r="F6" s="9" t="s">
        <v>42</v>
      </c>
      <c r="G6" s="9" t="s">
        <v>83</v>
      </c>
      <c r="H6" s="9" t="s">
        <v>84</v>
      </c>
      <c r="I6" s="9" t="s">
        <v>85</v>
      </c>
      <c r="J6" s="9" t="s">
        <v>86</v>
      </c>
      <c r="K6" s="9" t="s">
        <v>87</v>
      </c>
      <c r="L6" s="9" t="s">
        <v>88</v>
      </c>
      <c r="M6" s="8" t="str">
        <f aca="false">IF(C6="","",IF(C6&gt;=2021,"Sí","No"))</f>
        <v>No</v>
      </c>
      <c r="N6" s="9" t="s">
        <v>89</v>
      </c>
      <c r="O6" s="9" t="s">
        <v>90</v>
      </c>
    </row>
    <row r="7" customFormat="false" ht="57.75" hidden="false" customHeight="true" outlineLevel="0" collapsed="false">
      <c r="A7" s="10" t="n">
        <v>6</v>
      </c>
      <c r="B7" s="11" t="s">
        <v>91</v>
      </c>
      <c r="C7" s="10" t="n">
        <v>2013</v>
      </c>
      <c r="D7" s="11" t="s">
        <v>92</v>
      </c>
      <c r="E7" s="11" t="s">
        <v>93</v>
      </c>
      <c r="F7" s="11" t="s">
        <v>94</v>
      </c>
      <c r="G7" s="11" t="s">
        <v>91</v>
      </c>
      <c r="H7" s="11" t="s">
        <v>74</v>
      </c>
      <c r="I7" s="11" t="s">
        <v>95</v>
      </c>
      <c r="J7" s="11" t="s">
        <v>96</v>
      </c>
      <c r="K7" s="11" t="s">
        <v>97</v>
      </c>
      <c r="L7" s="11" t="s">
        <v>98</v>
      </c>
      <c r="M7" s="10" t="str">
        <f aca="false">IF(C7="","",IF(C7&gt;=2021,"Sí","No"))</f>
        <v>No</v>
      </c>
      <c r="N7" s="11" t="s">
        <v>99</v>
      </c>
      <c r="O7" s="11" t="s">
        <v>100</v>
      </c>
    </row>
    <row r="8" customFormat="false" ht="57.75" hidden="false" customHeight="true" outlineLevel="0" collapsed="false">
      <c r="A8" s="8" t="n">
        <v>7</v>
      </c>
      <c r="B8" s="9" t="s">
        <v>101</v>
      </c>
      <c r="C8" s="8" t="n">
        <v>2015</v>
      </c>
      <c r="D8" s="9" t="s">
        <v>102</v>
      </c>
      <c r="E8" s="9" t="s">
        <v>103</v>
      </c>
      <c r="F8" s="9" t="s">
        <v>42</v>
      </c>
      <c r="G8" s="9" t="s">
        <v>104</v>
      </c>
      <c r="H8" s="9" t="s">
        <v>64</v>
      </c>
      <c r="I8" s="9" t="s">
        <v>105</v>
      </c>
      <c r="J8" s="9" t="s">
        <v>106</v>
      </c>
      <c r="K8" s="9" t="s">
        <v>107</v>
      </c>
      <c r="L8" s="9" t="s">
        <v>108</v>
      </c>
      <c r="M8" s="8" t="str">
        <f aca="false">IF(C8="","",IF(C8&gt;=2021,"Sí","No"))</f>
        <v>No</v>
      </c>
      <c r="N8" s="9" t="s">
        <v>109</v>
      </c>
      <c r="O8" s="9" t="s">
        <v>110</v>
      </c>
    </row>
    <row r="9" customFormat="false" ht="57.75" hidden="false" customHeight="true" outlineLevel="0" collapsed="false">
      <c r="A9" s="10" t="n">
        <v>8</v>
      </c>
      <c r="B9" s="11" t="s">
        <v>111</v>
      </c>
      <c r="C9" s="10" t="n">
        <v>2017</v>
      </c>
      <c r="D9" s="11" t="s">
        <v>112</v>
      </c>
      <c r="E9" s="11" t="s">
        <v>103</v>
      </c>
      <c r="F9" s="11" t="s">
        <v>42</v>
      </c>
      <c r="G9" s="11" t="s">
        <v>113</v>
      </c>
      <c r="H9" s="11" t="s">
        <v>74</v>
      </c>
      <c r="I9" s="11" t="s">
        <v>114</v>
      </c>
      <c r="J9" s="11" t="s">
        <v>115</v>
      </c>
      <c r="K9" s="11" t="s">
        <v>116</v>
      </c>
      <c r="L9" s="11" t="s">
        <v>117</v>
      </c>
      <c r="M9" s="10" t="str">
        <f aca="false">IF(C9="","",IF(C9&gt;=2021,"Sí","No"))</f>
        <v>No</v>
      </c>
      <c r="N9" s="11" t="s">
        <v>118</v>
      </c>
      <c r="O9" s="11" t="s">
        <v>119</v>
      </c>
    </row>
    <row r="10" customFormat="false" ht="57.75" hidden="false" customHeight="true" outlineLevel="0" collapsed="false">
      <c r="A10" s="8" t="n">
        <v>9</v>
      </c>
      <c r="B10" s="9" t="s">
        <v>120</v>
      </c>
      <c r="C10" s="8" t="n">
        <v>2020</v>
      </c>
      <c r="D10" s="9" t="s">
        <v>121</v>
      </c>
      <c r="E10" s="9" t="s">
        <v>41</v>
      </c>
      <c r="F10" s="9" t="s">
        <v>42</v>
      </c>
      <c r="G10" s="9" t="s">
        <v>122</v>
      </c>
      <c r="H10" s="9" t="s">
        <v>54</v>
      </c>
      <c r="I10" s="9" t="s">
        <v>123</v>
      </c>
      <c r="J10" s="9" t="s">
        <v>124</v>
      </c>
      <c r="K10" s="9" t="s">
        <v>125</v>
      </c>
      <c r="L10" s="9" t="s">
        <v>126</v>
      </c>
      <c r="M10" s="8" t="str">
        <f aca="false">IF(C10="","",IF(C10&gt;=2021,"Sí","No"))</f>
        <v>No</v>
      </c>
      <c r="N10" s="9" t="s">
        <v>127</v>
      </c>
      <c r="O10" s="9" t="s">
        <v>128</v>
      </c>
    </row>
    <row r="11" customFormat="false" ht="57.75" hidden="false" customHeight="true" outlineLevel="0" collapsed="false">
      <c r="A11" s="10" t="n">
        <v>10</v>
      </c>
      <c r="B11" s="11" t="s">
        <v>129</v>
      </c>
      <c r="C11" s="10" t="n">
        <v>2021</v>
      </c>
      <c r="D11" s="11" t="s">
        <v>130</v>
      </c>
      <c r="E11" s="11" t="s">
        <v>103</v>
      </c>
      <c r="F11" s="11" t="s">
        <v>42</v>
      </c>
      <c r="G11" s="11" t="s">
        <v>131</v>
      </c>
      <c r="H11" s="11" t="s">
        <v>64</v>
      </c>
      <c r="I11" s="11" t="s">
        <v>132</v>
      </c>
      <c r="J11" s="11" t="s">
        <v>133</v>
      </c>
      <c r="K11" s="11" t="s">
        <v>134</v>
      </c>
      <c r="L11" s="11" t="s">
        <v>135</v>
      </c>
      <c r="M11" s="10" t="str">
        <f aca="false">IF(C11="","",IF(C11&gt;=2021,"Sí","No"))</f>
        <v>Sí</v>
      </c>
      <c r="N11" s="11" t="s">
        <v>136</v>
      </c>
      <c r="O11" s="11" t="s">
        <v>137</v>
      </c>
    </row>
    <row r="12" customFormat="false" ht="57.75" hidden="false" customHeight="true" outlineLevel="0" collapsed="false">
      <c r="A12" s="8" t="n">
        <v>11</v>
      </c>
      <c r="B12" s="9" t="s">
        <v>138</v>
      </c>
      <c r="C12" s="8" t="n">
        <v>2015</v>
      </c>
      <c r="D12" s="9" t="s">
        <v>139</v>
      </c>
      <c r="E12" s="9" t="s">
        <v>103</v>
      </c>
      <c r="F12" s="9" t="s">
        <v>42</v>
      </c>
      <c r="G12" s="9" t="s">
        <v>140</v>
      </c>
      <c r="H12" s="9" t="s">
        <v>84</v>
      </c>
      <c r="I12" s="9" t="s">
        <v>141</v>
      </c>
      <c r="J12" s="9" t="s">
        <v>142</v>
      </c>
      <c r="K12" s="9" t="s">
        <v>143</v>
      </c>
      <c r="L12" s="9" t="s">
        <v>144</v>
      </c>
      <c r="M12" s="8" t="str">
        <f aca="false">IF(C12="","",IF(C12&gt;=2021,"Sí","No"))</f>
        <v>No</v>
      </c>
      <c r="N12" s="9" t="s">
        <v>145</v>
      </c>
      <c r="O12" s="9" t="s">
        <v>146</v>
      </c>
    </row>
    <row r="13" customFormat="false" ht="57.75" hidden="false" customHeight="true" outlineLevel="0" collapsed="false">
      <c r="A13" s="10" t="n">
        <v>12</v>
      </c>
      <c r="B13" s="11" t="s">
        <v>147</v>
      </c>
      <c r="C13" s="10" t="n">
        <v>2018</v>
      </c>
      <c r="D13" s="11" t="s">
        <v>148</v>
      </c>
      <c r="E13" s="11" t="s">
        <v>41</v>
      </c>
      <c r="F13" s="11" t="s">
        <v>42</v>
      </c>
      <c r="G13" s="11" t="s">
        <v>149</v>
      </c>
      <c r="H13" s="11" t="s">
        <v>54</v>
      </c>
      <c r="I13" s="11" t="s">
        <v>150</v>
      </c>
      <c r="J13" s="11" t="s">
        <v>151</v>
      </c>
      <c r="K13" s="11" t="s">
        <v>152</v>
      </c>
      <c r="L13" s="11" t="s">
        <v>153</v>
      </c>
      <c r="M13" s="10" t="str">
        <f aca="false">IF(C13="","",IF(C13&gt;=2021,"Sí","No"))</f>
        <v>No</v>
      </c>
      <c r="N13" s="11" t="s">
        <v>154</v>
      </c>
      <c r="O13" s="11" t="s">
        <v>155</v>
      </c>
    </row>
    <row r="14" customFormat="false" ht="57.75" hidden="false" customHeight="true" outlineLevel="0" collapsed="false">
      <c r="A14" s="8" t="n">
        <v>13</v>
      </c>
      <c r="B14" s="9" t="s">
        <v>156</v>
      </c>
      <c r="C14" s="8" t="n">
        <v>2023</v>
      </c>
      <c r="D14" s="9" t="s">
        <v>157</v>
      </c>
      <c r="E14" s="9" t="s">
        <v>41</v>
      </c>
      <c r="F14" s="9" t="s">
        <v>42</v>
      </c>
      <c r="G14" s="9" t="s">
        <v>158</v>
      </c>
      <c r="H14" s="9" t="s">
        <v>159</v>
      </c>
      <c r="I14" s="9" t="s">
        <v>160</v>
      </c>
      <c r="J14" s="9" t="s">
        <v>161</v>
      </c>
      <c r="K14" s="9" t="s">
        <v>162</v>
      </c>
      <c r="L14" s="9" t="s">
        <v>163</v>
      </c>
      <c r="M14" s="8" t="str">
        <f aca="false">IF(C14="","",IF(C14&gt;=2021,"Sí","No"))</f>
        <v>Sí</v>
      </c>
      <c r="N14" s="9" t="s">
        <v>164</v>
      </c>
      <c r="O14" s="9" t="s">
        <v>165</v>
      </c>
    </row>
    <row r="15" customFormat="false" ht="57.75" hidden="false" customHeight="true" outlineLevel="0" collapsed="false">
      <c r="A15" s="10" t="n">
        <v>14</v>
      </c>
      <c r="B15" s="11" t="s">
        <v>166</v>
      </c>
      <c r="C15" s="10" t="n">
        <v>2016</v>
      </c>
      <c r="D15" s="11" t="s">
        <v>167</v>
      </c>
      <c r="E15" s="11" t="s">
        <v>41</v>
      </c>
      <c r="F15" s="11" t="s">
        <v>42</v>
      </c>
      <c r="G15" s="11" t="s">
        <v>168</v>
      </c>
      <c r="H15" s="11" t="s">
        <v>64</v>
      </c>
      <c r="I15" s="11" t="s">
        <v>169</v>
      </c>
      <c r="J15" s="11" t="s">
        <v>170</v>
      </c>
      <c r="K15" s="11" t="s">
        <v>171</v>
      </c>
      <c r="L15" s="11" t="s">
        <v>172</v>
      </c>
      <c r="M15" s="10" t="str">
        <f aca="false">IF(C15="","",IF(C15&gt;=2021,"Sí","No"))</f>
        <v>No</v>
      </c>
      <c r="N15" s="11" t="s">
        <v>173</v>
      </c>
      <c r="O15" s="11" t="s">
        <v>174</v>
      </c>
    </row>
    <row r="16" customFormat="false" ht="57.75" hidden="false" customHeight="true" outlineLevel="0" collapsed="false">
      <c r="A16" s="8" t="n">
        <v>15</v>
      </c>
      <c r="B16" s="9" t="s">
        <v>175</v>
      </c>
      <c r="C16" s="8" t="n">
        <v>2017</v>
      </c>
      <c r="D16" s="9" t="s">
        <v>176</v>
      </c>
      <c r="E16" s="9" t="s">
        <v>41</v>
      </c>
      <c r="F16" s="9" t="s">
        <v>42</v>
      </c>
      <c r="G16" s="9" t="s">
        <v>177</v>
      </c>
      <c r="H16" s="9" t="s">
        <v>74</v>
      </c>
      <c r="I16" s="9" t="s">
        <v>178</v>
      </c>
      <c r="J16" s="9" t="s">
        <v>179</v>
      </c>
      <c r="K16" s="9" t="s">
        <v>180</v>
      </c>
      <c r="L16" s="9" t="s">
        <v>181</v>
      </c>
      <c r="M16" s="8" t="str">
        <f aca="false">IF(C16="","",IF(C16&gt;=2021,"Sí","No"))</f>
        <v>No</v>
      </c>
      <c r="N16" s="9" t="s">
        <v>182</v>
      </c>
      <c r="O16" s="9" t="s">
        <v>183</v>
      </c>
    </row>
    <row r="17" customFormat="false" ht="57.75" hidden="false" customHeight="true" outlineLevel="0" collapsed="false">
      <c r="A17" s="10" t="n">
        <v>16</v>
      </c>
      <c r="B17" s="11" t="s">
        <v>184</v>
      </c>
      <c r="C17" s="10" t="n">
        <v>2022</v>
      </c>
      <c r="D17" s="11" t="s">
        <v>185</v>
      </c>
      <c r="E17" s="11" t="s">
        <v>103</v>
      </c>
      <c r="F17" s="11" t="s">
        <v>42</v>
      </c>
      <c r="G17" s="11" t="s">
        <v>186</v>
      </c>
      <c r="H17" s="11" t="s">
        <v>159</v>
      </c>
      <c r="I17" s="11" t="s">
        <v>187</v>
      </c>
      <c r="J17" s="11" t="s">
        <v>133</v>
      </c>
      <c r="K17" s="11" t="s">
        <v>188</v>
      </c>
      <c r="L17" s="11" t="s">
        <v>189</v>
      </c>
      <c r="M17" s="10" t="str">
        <f aca="false">IF(C17="","",IF(C17&gt;=2021,"Sí","No"))</f>
        <v>Sí</v>
      </c>
      <c r="N17" s="11" t="s">
        <v>190</v>
      </c>
      <c r="O17" s="11" t="s">
        <v>191</v>
      </c>
    </row>
    <row r="18" customFormat="false" ht="57.75" hidden="false" customHeight="true" outlineLevel="0" collapsed="false">
      <c r="A18" s="8" t="n">
        <v>17</v>
      </c>
      <c r="B18" s="9" t="s">
        <v>192</v>
      </c>
      <c r="C18" s="8" t="n">
        <v>2016</v>
      </c>
      <c r="D18" s="9" t="s">
        <v>193</v>
      </c>
      <c r="E18" s="9" t="s">
        <v>103</v>
      </c>
      <c r="F18" s="9" t="s">
        <v>42</v>
      </c>
      <c r="G18" s="9" t="s">
        <v>194</v>
      </c>
      <c r="H18" s="9" t="s">
        <v>74</v>
      </c>
      <c r="I18" s="9" t="s">
        <v>195</v>
      </c>
      <c r="J18" s="9" t="s">
        <v>142</v>
      </c>
      <c r="K18" s="9" t="s">
        <v>196</v>
      </c>
      <c r="L18" s="9" t="s">
        <v>197</v>
      </c>
      <c r="M18" s="8" t="str">
        <f aca="false">IF(C18="","",IF(C18&gt;=2021,"Sí","No"))</f>
        <v>No</v>
      </c>
      <c r="N18" s="9" t="s">
        <v>198</v>
      </c>
      <c r="O18" s="9" t="s">
        <v>199</v>
      </c>
    </row>
    <row r="19" customFormat="false" ht="57.75" hidden="false" customHeight="true" outlineLevel="0" collapsed="false">
      <c r="A19" s="10" t="n">
        <v>18</v>
      </c>
      <c r="B19" s="11" t="s">
        <v>200</v>
      </c>
      <c r="C19" s="10" t="n">
        <v>2022</v>
      </c>
      <c r="D19" s="11" t="s">
        <v>201</v>
      </c>
      <c r="E19" s="11" t="s">
        <v>103</v>
      </c>
      <c r="F19" s="11" t="s">
        <v>42</v>
      </c>
      <c r="G19" s="11" t="s">
        <v>202</v>
      </c>
      <c r="H19" s="11" t="s">
        <v>159</v>
      </c>
      <c r="I19" s="11" t="s">
        <v>203</v>
      </c>
      <c r="J19" s="11" t="s">
        <v>204</v>
      </c>
      <c r="K19" s="11" t="s">
        <v>205</v>
      </c>
      <c r="L19" s="11" t="s">
        <v>206</v>
      </c>
      <c r="M19" s="10" t="str">
        <f aca="false">IF(C19="","",IF(C19&gt;=2021,"Sí","No"))</f>
        <v>Sí</v>
      </c>
      <c r="N19" s="11" t="s">
        <v>207</v>
      </c>
      <c r="O19" s="11" t="s">
        <v>208</v>
      </c>
    </row>
    <row r="20" customFormat="false" ht="57.75" hidden="false" customHeight="true" outlineLevel="0" collapsed="false">
      <c r="A20" s="8" t="n">
        <v>19</v>
      </c>
      <c r="B20" s="9" t="s">
        <v>209</v>
      </c>
      <c r="C20" s="8" t="n">
        <v>2009</v>
      </c>
      <c r="D20" s="9" t="s">
        <v>210</v>
      </c>
      <c r="E20" s="9" t="s">
        <v>41</v>
      </c>
      <c r="F20" s="9" t="s">
        <v>42</v>
      </c>
      <c r="G20" s="9" t="s">
        <v>211</v>
      </c>
      <c r="H20" s="9" t="s">
        <v>212</v>
      </c>
      <c r="I20" s="9" t="s">
        <v>213</v>
      </c>
      <c r="J20" s="9" t="s">
        <v>214</v>
      </c>
      <c r="K20" s="9" t="s">
        <v>215</v>
      </c>
      <c r="L20" s="9" t="s">
        <v>216</v>
      </c>
      <c r="M20" s="8" t="str">
        <f aca="false">IF(C20="","",IF(C20&gt;=2021,"Sí","No"))</f>
        <v>No</v>
      </c>
      <c r="N20" s="9" t="s">
        <v>217</v>
      </c>
      <c r="O20" s="9" t="s">
        <v>218</v>
      </c>
    </row>
    <row r="21" customFormat="false" ht="57.75" hidden="false" customHeight="true" outlineLevel="0" collapsed="false">
      <c r="A21" s="10" t="n">
        <v>20</v>
      </c>
      <c r="B21" s="11" t="s">
        <v>219</v>
      </c>
      <c r="C21" s="10" t="n">
        <v>2019</v>
      </c>
      <c r="D21" s="11" t="s">
        <v>220</v>
      </c>
      <c r="E21" s="11" t="s">
        <v>41</v>
      </c>
      <c r="F21" s="11" t="s">
        <v>42</v>
      </c>
      <c r="G21" s="11" t="s">
        <v>221</v>
      </c>
      <c r="H21" s="11" t="s">
        <v>159</v>
      </c>
      <c r="I21" s="11" t="s">
        <v>222</v>
      </c>
      <c r="J21" s="11" t="s">
        <v>223</v>
      </c>
      <c r="K21" s="11" t="s">
        <v>224</v>
      </c>
      <c r="L21" s="11" t="s">
        <v>225</v>
      </c>
      <c r="M21" s="10" t="str">
        <f aca="false">IF(C21="","",IF(C21&gt;=2021,"Sí","No"))</f>
        <v>No</v>
      </c>
      <c r="N21" s="11" t="s">
        <v>226</v>
      </c>
      <c r="O21" s="11" t="s">
        <v>227</v>
      </c>
    </row>
    <row r="22" customFormat="false" ht="57.75" hidden="false" customHeight="true" outlineLevel="0" collapsed="false">
      <c r="A22" s="8" t="n">
        <v>21</v>
      </c>
      <c r="B22" s="9" t="s">
        <v>228</v>
      </c>
      <c r="C22" s="8" t="n">
        <v>2019</v>
      </c>
      <c r="D22" s="9" t="s">
        <v>229</v>
      </c>
      <c r="E22" s="9" t="s">
        <v>41</v>
      </c>
      <c r="F22" s="9" t="s">
        <v>42</v>
      </c>
      <c r="G22" s="9" t="s">
        <v>230</v>
      </c>
      <c r="H22" s="9" t="s">
        <v>44</v>
      </c>
      <c r="I22" s="9" t="s">
        <v>231</v>
      </c>
      <c r="J22" s="9" t="s">
        <v>232</v>
      </c>
      <c r="K22" s="9" t="s">
        <v>233</v>
      </c>
      <c r="L22" s="9" t="s">
        <v>234</v>
      </c>
      <c r="M22" s="8" t="str">
        <f aca="false">IF(C22="","",IF(C22&gt;=2021,"Sí","No"))</f>
        <v>No</v>
      </c>
      <c r="N22" s="9" t="s">
        <v>235</v>
      </c>
      <c r="O22" s="9" t="s">
        <v>236</v>
      </c>
    </row>
    <row r="23" customFormat="false" ht="57.75" hidden="false" customHeight="true" outlineLevel="0" collapsed="false">
      <c r="A23" s="10" t="n">
        <v>22</v>
      </c>
      <c r="B23" s="11" t="s">
        <v>237</v>
      </c>
      <c r="C23" s="10" t="n">
        <v>2021</v>
      </c>
      <c r="D23" s="11" t="s">
        <v>238</v>
      </c>
      <c r="E23" s="11" t="s">
        <v>41</v>
      </c>
      <c r="F23" s="11" t="s">
        <v>42</v>
      </c>
      <c r="G23" s="11" t="s">
        <v>239</v>
      </c>
      <c r="H23" s="11" t="s">
        <v>212</v>
      </c>
      <c r="I23" s="11" t="s">
        <v>240</v>
      </c>
      <c r="J23" s="11" t="s">
        <v>241</v>
      </c>
      <c r="K23" s="11" t="s">
        <v>242</v>
      </c>
      <c r="L23" s="11" t="s">
        <v>243</v>
      </c>
      <c r="M23" s="10" t="str">
        <f aca="false">IF(C23="","",IF(C23&gt;=2021,"Sí","No"))</f>
        <v>Sí</v>
      </c>
      <c r="N23" s="11" t="s">
        <v>244</v>
      </c>
      <c r="O23" s="11" t="s">
        <v>245</v>
      </c>
    </row>
    <row r="24" customFormat="false" ht="57.75" hidden="false" customHeight="true" outlineLevel="0" collapsed="false">
      <c r="A24" s="8" t="n">
        <v>23</v>
      </c>
      <c r="B24" s="9" t="s">
        <v>246</v>
      </c>
      <c r="C24" s="8" t="n">
        <v>2019</v>
      </c>
      <c r="D24" s="9" t="s">
        <v>247</v>
      </c>
      <c r="E24" s="9" t="s">
        <v>41</v>
      </c>
      <c r="F24" s="9" t="s">
        <v>42</v>
      </c>
      <c r="G24" s="9" t="s">
        <v>248</v>
      </c>
      <c r="H24" s="9" t="s">
        <v>44</v>
      </c>
      <c r="I24" s="9" t="s">
        <v>249</v>
      </c>
      <c r="J24" s="9" t="s">
        <v>250</v>
      </c>
      <c r="K24" s="9" t="s">
        <v>251</v>
      </c>
      <c r="L24" s="9" t="s">
        <v>252</v>
      </c>
      <c r="M24" s="8" t="str">
        <f aca="false">IF(C24="","",IF(C24&gt;=2021,"Sí","No"))</f>
        <v>No</v>
      </c>
      <c r="N24" s="9" t="s">
        <v>253</v>
      </c>
      <c r="O24" s="9" t="s">
        <v>254</v>
      </c>
    </row>
    <row r="25" customFormat="false" ht="57.75" hidden="false" customHeight="true" outlineLevel="0" collapsed="false">
      <c r="A25" s="10" t="n">
        <v>24</v>
      </c>
      <c r="B25" s="11" t="s">
        <v>255</v>
      </c>
      <c r="C25" s="10" t="n">
        <v>2011</v>
      </c>
      <c r="D25" s="11" t="s">
        <v>256</v>
      </c>
      <c r="E25" s="11" t="s">
        <v>103</v>
      </c>
      <c r="F25" s="11" t="s">
        <v>42</v>
      </c>
      <c r="G25" s="11" t="s">
        <v>257</v>
      </c>
      <c r="H25" s="11" t="s">
        <v>84</v>
      </c>
      <c r="I25" s="11" t="s">
        <v>258</v>
      </c>
      <c r="J25" s="11" t="s">
        <v>259</v>
      </c>
      <c r="K25" s="11" t="s">
        <v>260</v>
      </c>
      <c r="L25" s="11" t="s">
        <v>261</v>
      </c>
      <c r="M25" s="10" t="str">
        <f aca="false">IF(C25="","",IF(C25&gt;=2021,"Sí","No"))</f>
        <v>No</v>
      </c>
      <c r="N25" s="11" t="s">
        <v>262</v>
      </c>
      <c r="O25" s="11" t="s">
        <v>263</v>
      </c>
    </row>
    <row r="26" customFormat="false" ht="57.75" hidden="false" customHeight="true" outlineLevel="0" collapsed="false">
      <c r="A26" s="8" t="n">
        <v>25</v>
      </c>
      <c r="B26" s="9" t="s">
        <v>264</v>
      </c>
      <c r="C26" s="8" t="n">
        <v>2008</v>
      </c>
      <c r="D26" s="9" t="s">
        <v>265</v>
      </c>
      <c r="E26" s="9" t="s">
        <v>103</v>
      </c>
      <c r="F26" s="9" t="s">
        <v>42</v>
      </c>
      <c r="G26" s="9" t="s">
        <v>266</v>
      </c>
      <c r="H26" s="9" t="s">
        <v>84</v>
      </c>
      <c r="I26" s="9" t="s">
        <v>267</v>
      </c>
      <c r="J26" s="9" t="s">
        <v>268</v>
      </c>
      <c r="K26" s="9" t="s">
        <v>269</v>
      </c>
      <c r="L26" s="9" t="s">
        <v>270</v>
      </c>
      <c r="M26" s="8" t="str">
        <f aca="false">IF(C26="","",IF(C26&gt;=2021,"Sí","No"))</f>
        <v>No</v>
      </c>
      <c r="N26" s="9" t="s">
        <v>271</v>
      </c>
      <c r="O26" s="9" t="s">
        <v>272</v>
      </c>
    </row>
    <row r="27" customFormat="false" ht="57.75" hidden="false" customHeight="true" outlineLevel="0" collapsed="false">
      <c r="A27" s="10" t="n">
        <v>26</v>
      </c>
      <c r="B27" s="11" t="s">
        <v>273</v>
      </c>
      <c r="C27" s="10" t="n">
        <v>2007</v>
      </c>
      <c r="D27" s="11" t="s">
        <v>274</v>
      </c>
      <c r="E27" s="11" t="s">
        <v>103</v>
      </c>
      <c r="F27" s="11" t="s">
        <v>42</v>
      </c>
      <c r="G27" s="11" t="s">
        <v>275</v>
      </c>
      <c r="H27" s="11" t="s">
        <v>84</v>
      </c>
      <c r="I27" s="11" t="s">
        <v>276</v>
      </c>
      <c r="J27" s="11" t="s">
        <v>133</v>
      </c>
      <c r="K27" s="11" t="s">
        <v>277</v>
      </c>
      <c r="L27" s="11" t="s">
        <v>278</v>
      </c>
      <c r="M27" s="10" t="str">
        <f aca="false">IF(C27="","",IF(C27&gt;=2021,"Sí","No"))</f>
        <v>No</v>
      </c>
      <c r="N27" s="11" t="s">
        <v>279</v>
      </c>
      <c r="O27" s="11" t="s">
        <v>280</v>
      </c>
    </row>
    <row r="28" customFormat="false" ht="57.75" hidden="false" customHeight="true" outlineLevel="0" collapsed="false">
      <c r="A28" s="8" t="n">
        <v>27</v>
      </c>
      <c r="B28" s="9" t="s">
        <v>281</v>
      </c>
      <c r="C28" s="8" t="n">
        <v>2016</v>
      </c>
      <c r="D28" s="9" t="s">
        <v>282</v>
      </c>
      <c r="E28" s="9" t="s">
        <v>41</v>
      </c>
      <c r="F28" s="9" t="s">
        <v>42</v>
      </c>
      <c r="G28" s="9" t="s">
        <v>283</v>
      </c>
      <c r="H28" s="9" t="s">
        <v>74</v>
      </c>
      <c r="I28" s="9" t="s">
        <v>284</v>
      </c>
      <c r="J28" s="9" t="s">
        <v>285</v>
      </c>
      <c r="K28" s="9" t="s">
        <v>286</v>
      </c>
      <c r="L28" s="9" t="s">
        <v>287</v>
      </c>
      <c r="M28" s="8" t="str">
        <f aca="false">IF(C28="","",IF(C28&gt;=2021,"Sí","No"))</f>
        <v>No</v>
      </c>
      <c r="N28" s="9" t="s">
        <v>288</v>
      </c>
      <c r="O28" s="9" t="s">
        <v>289</v>
      </c>
    </row>
    <row r="29" customFormat="false" ht="57.75" hidden="false" customHeight="true" outlineLevel="0" collapsed="false">
      <c r="A29" s="10" t="n">
        <v>28</v>
      </c>
      <c r="B29" s="11" t="s">
        <v>290</v>
      </c>
      <c r="C29" s="10" t="n">
        <v>2019</v>
      </c>
      <c r="D29" s="11" t="s">
        <v>291</v>
      </c>
      <c r="E29" s="11" t="s">
        <v>103</v>
      </c>
      <c r="F29" s="11" t="s">
        <v>42</v>
      </c>
      <c r="G29" s="11" t="s">
        <v>292</v>
      </c>
      <c r="H29" s="11" t="s">
        <v>84</v>
      </c>
      <c r="I29" s="11" t="s">
        <v>293</v>
      </c>
      <c r="J29" s="11" t="s">
        <v>294</v>
      </c>
      <c r="K29" s="11" t="s">
        <v>295</v>
      </c>
      <c r="L29" s="11" t="s">
        <v>296</v>
      </c>
      <c r="M29" s="10" t="str">
        <f aca="false">IF(C29="","",IF(C29&gt;=2021,"Sí","No"))</f>
        <v>No</v>
      </c>
      <c r="N29" s="11" t="s">
        <v>297</v>
      </c>
      <c r="O29" s="11" t="s">
        <v>298</v>
      </c>
    </row>
    <row r="30" customFormat="false" ht="57.75" hidden="false" customHeight="true" outlineLevel="0" collapsed="false">
      <c r="A30" s="8" t="n">
        <v>29</v>
      </c>
      <c r="B30" s="9" t="s">
        <v>299</v>
      </c>
      <c r="C30" s="8" t="n">
        <v>2011</v>
      </c>
      <c r="D30" s="9" t="s">
        <v>300</v>
      </c>
      <c r="E30" s="9" t="s">
        <v>93</v>
      </c>
      <c r="F30" s="9" t="s">
        <v>94</v>
      </c>
      <c r="G30" s="9" t="s">
        <v>301</v>
      </c>
      <c r="H30" s="9" t="s">
        <v>54</v>
      </c>
      <c r="I30" s="9" t="s">
        <v>302</v>
      </c>
      <c r="J30" s="9" t="s">
        <v>303</v>
      </c>
      <c r="K30" s="9" t="s">
        <v>304</v>
      </c>
      <c r="L30" s="9" t="s">
        <v>305</v>
      </c>
      <c r="M30" s="8" t="str">
        <f aca="false">IF(C30="","",IF(C30&gt;=2021,"Sí","No"))</f>
        <v>No</v>
      </c>
      <c r="N30" s="9" t="s">
        <v>306</v>
      </c>
      <c r="O30" s="9" t="s">
        <v>307</v>
      </c>
    </row>
    <row r="31" customFormat="false" ht="57.75" hidden="false" customHeight="true" outlineLevel="0" collapsed="false">
      <c r="A31" s="10" t="n">
        <v>30</v>
      </c>
      <c r="B31" s="11" t="s">
        <v>308</v>
      </c>
      <c r="C31" s="10" t="n">
        <v>2021</v>
      </c>
      <c r="D31" s="11" t="s">
        <v>309</v>
      </c>
      <c r="E31" s="11" t="s">
        <v>41</v>
      </c>
      <c r="F31" s="11" t="s">
        <v>42</v>
      </c>
      <c r="G31" s="11" t="s">
        <v>310</v>
      </c>
      <c r="H31" s="11" t="s">
        <v>159</v>
      </c>
      <c r="I31" s="11" t="s">
        <v>311</v>
      </c>
      <c r="J31" s="11" t="s">
        <v>312</v>
      </c>
      <c r="K31" s="11" t="s">
        <v>313</v>
      </c>
      <c r="L31" s="11" t="s">
        <v>314</v>
      </c>
      <c r="M31" s="10" t="str">
        <f aca="false">IF(C31="","",IF(C31&gt;=2021,"Sí","No"))</f>
        <v>Sí</v>
      </c>
      <c r="N31" s="11" t="s">
        <v>315</v>
      </c>
      <c r="O31" s="11" t="s">
        <v>316</v>
      </c>
    </row>
    <row r="32" customFormat="false" ht="57.75" hidden="false" customHeight="true" outlineLevel="0" collapsed="false">
      <c r="A32" s="8" t="n">
        <v>31</v>
      </c>
      <c r="B32" s="9" t="s">
        <v>317</v>
      </c>
      <c r="C32" s="8" t="n">
        <v>2008</v>
      </c>
      <c r="D32" s="9" t="s">
        <v>318</v>
      </c>
      <c r="E32" s="9" t="s">
        <v>41</v>
      </c>
      <c r="F32" s="9" t="s">
        <v>42</v>
      </c>
      <c r="G32" s="9" t="s">
        <v>319</v>
      </c>
      <c r="H32" s="9" t="s">
        <v>84</v>
      </c>
      <c r="I32" s="9" t="s">
        <v>320</v>
      </c>
      <c r="J32" s="9" t="s">
        <v>321</v>
      </c>
      <c r="K32" s="9" t="s">
        <v>322</v>
      </c>
      <c r="L32" s="9" t="s">
        <v>323</v>
      </c>
      <c r="M32" s="8" t="str">
        <f aca="false">IF(C32="","",IF(C32&gt;=2021,"Sí","No"))</f>
        <v>No</v>
      </c>
      <c r="N32" s="9" t="s">
        <v>324</v>
      </c>
      <c r="O32" s="9" t="s">
        <v>325</v>
      </c>
    </row>
    <row r="33" customFormat="false" ht="57.75" hidden="false" customHeight="true" outlineLevel="0" collapsed="false">
      <c r="A33" s="10" t="n">
        <v>32</v>
      </c>
      <c r="B33" s="11" t="s">
        <v>326</v>
      </c>
      <c r="C33" s="10" t="n">
        <v>2023</v>
      </c>
      <c r="D33" s="11" t="s">
        <v>327</v>
      </c>
      <c r="E33" s="11" t="s">
        <v>41</v>
      </c>
      <c r="F33" s="11" t="s">
        <v>42</v>
      </c>
      <c r="G33" s="11" t="s">
        <v>328</v>
      </c>
      <c r="H33" s="11" t="s">
        <v>44</v>
      </c>
      <c r="I33" s="11" t="s">
        <v>329</v>
      </c>
      <c r="J33" s="11" t="s">
        <v>330</v>
      </c>
      <c r="K33" s="11" t="s">
        <v>331</v>
      </c>
      <c r="L33" s="11" t="s">
        <v>332</v>
      </c>
      <c r="M33" s="10" t="str">
        <f aca="false">IF(C33="","",IF(C33&gt;=2021,"Sí","No"))</f>
        <v>Sí</v>
      </c>
      <c r="N33" s="11" t="s">
        <v>333</v>
      </c>
      <c r="O33" s="11" t="s">
        <v>334</v>
      </c>
    </row>
    <row r="34" customFormat="false" ht="57.75" hidden="false" customHeight="true" outlineLevel="0" collapsed="false">
      <c r="A34" s="8" t="n">
        <v>33</v>
      </c>
      <c r="B34" s="9" t="s">
        <v>335</v>
      </c>
      <c r="C34" s="8" t="n">
        <v>2023</v>
      </c>
      <c r="D34" s="9" t="s">
        <v>336</v>
      </c>
      <c r="E34" s="9" t="s">
        <v>41</v>
      </c>
      <c r="F34" s="9" t="s">
        <v>42</v>
      </c>
      <c r="G34" s="9" t="s">
        <v>337</v>
      </c>
      <c r="H34" s="9" t="s">
        <v>44</v>
      </c>
      <c r="I34" s="9" t="s">
        <v>338</v>
      </c>
      <c r="J34" s="9" t="s">
        <v>339</v>
      </c>
      <c r="K34" s="9" t="s">
        <v>340</v>
      </c>
      <c r="L34" s="9" t="s">
        <v>341</v>
      </c>
      <c r="M34" s="8" t="str">
        <f aca="false">IF(C34="","",IF(C34&gt;=2021,"Sí","No"))</f>
        <v>Sí</v>
      </c>
      <c r="N34" s="9" t="s">
        <v>342</v>
      </c>
      <c r="O34" s="9" t="s">
        <v>343</v>
      </c>
    </row>
    <row r="35" customFormat="false" ht="57.75" hidden="false" customHeight="true" outlineLevel="0" collapsed="false">
      <c r="A35" s="10" t="n">
        <v>34</v>
      </c>
      <c r="B35" s="11" t="s">
        <v>344</v>
      </c>
      <c r="C35" s="10" t="n">
        <v>2024</v>
      </c>
      <c r="D35" s="11" t="s">
        <v>345</v>
      </c>
      <c r="E35" s="11" t="s">
        <v>103</v>
      </c>
      <c r="F35" s="11" t="s">
        <v>42</v>
      </c>
      <c r="G35" s="11" t="s">
        <v>346</v>
      </c>
      <c r="H35" s="11" t="s">
        <v>44</v>
      </c>
      <c r="I35" s="11" t="s">
        <v>347</v>
      </c>
      <c r="J35" s="11" t="s">
        <v>348</v>
      </c>
      <c r="K35" s="11" t="s">
        <v>349</v>
      </c>
      <c r="L35" s="11" t="s">
        <v>350</v>
      </c>
      <c r="M35" s="10" t="str">
        <f aca="false">IF(C35="","",IF(C35&gt;=2021,"Sí","No"))</f>
        <v>Sí</v>
      </c>
      <c r="N35" s="11" t="s">
        <v>351</v>
      </c>
      <c r="O35" s="11" t="s">
        <v>352</v>
      </c>
    </row>
    <row r="36" customFormat="false" ht="57.75" hidden="false" customHeight="true" outlineLevel="0" collapsed="false">
      <c r="A36" s="8" t="n">
        <v>35</v>
      </c>
      <c r="B36" s="9" t="s">
        <v>353</v>
      </c>
      <c r="C36" s="8" t="n">
        <v>2024</v>
      </c>
      <c r="D36" s="9" t="s">
        <v>354</v>
      </c>
      <c r="E36" s="9" t="s">
        <v>41</v>
      </c>
      <c r="F36" s="9" t="s">
        <v>42</v>
      </c>
      <c r="G36" s="9" t="s">
        <v>355</v>
      </c>
      <c r="H36" s="9" t="s">
        <v>44</v>
      </c>
      <c r="I36" s="9" t="s">
        <v>356</v>
      </c>
      <c r="J36" s="9" t="s">
        <v>357</v>
      </c>
      <c r="K36" s="9" t="s">
        <v>358</v>
      </c>
      <c r="L36" s="9" t="s">
        <v>359</v>
      </c>
      <c r="M36" s="8" t="str">
        <f aca="false">IF(C36="","",IF(C36&gt;=2021,"Sí","No"))</f>
        <v>Sí</v>
      </c>
      <c r="N36" s="9" t="s">
        <v>360</v>
      </c>
      <c r="O36" s="9" t="s">
        <v>361</v>
      </c>
    </row>
    <row r="37" customFormat="false" ht="57.75" hidden="false" customHeight="true" outlineLevel="0" collapsed="false">
      <c r="A37" s="10" t="n">
        <v>36</v>
      </c>
      <c r="B37" s="11" t="s">
        <v>362</v>
      </c>
      <c r="C37" s="10" t="n">
        <v>2024</v>
      </c>
      <c r="D37" s="11" t="s">
        <v>363</v>
      </c>
      <c r="E37" s="11" t="s">
        <v>103</v>
      </c>
      <c r="F37" s="11" t="s">
        <v>42</v>
      </c>
      <c r="G37" s="11" t="s">
        <v>364</v>
      </c>
      <c r="H37" s="11" t="s">
        <v>54</v>
      </c>
      <c r="I37" s="11" t="s">
        <v>365</v>
      </c>
      <c r="J37" s="11" t="s">
        <v>142</v>
      </c>
      <c r="K37" s="11" t="s">
        <v>366</v>
      </c>
      <c r="L37" s="11" t="s">
        <v>367</v>
      </c>
      <c r="M37" s="10" t="str">
        <f aca="false">IF(C37="","",IF(C37&gt;=2021,"Sí","No"))</f>
        <v>Sí</v>
      </c>
      <c r="N37" s="11" t="s">
        <v>368</v>
      </c>
      <c r="O37" s="11" t="s">
        <v>369</v>
      </c>
    </row>
    <row r="38" customFormat="false" ht="57.75" hidden="false" customHeight="true" outlineLevel="0" collapsed="false">
      <c r="A38" s="8" t="n">
        <v>37</v>
      </c>
      <c r="B38" s="9" t="s">
        <v>370</v>
      </c>
      <c r="C38" s="8" t="n">
        <v>2023</v>
      </c>
      <c r="D38" s="9" t="s">
        <v>371</v>
      </c>
      <c r="E38" s="9" t="s">
        <v>41</v>
      </c>
      <c r="F38" s="9" t="s">
        <v>42</v>
      </c>
      <c r="G38" s="9" t="s">
        <v>372</v>
      </c>
      <c r="H38" s="9" t="s">
        <v>54</v>
      </c>
      <c r="I38" s="9" t="s">
        <v>373</v>
      </c>
      <c r="J38" s="9" t="s">
        <v>374</v>
      </c>
      <c r="K38" s="9" t="s">
        <v>375</v>
      </c>
      <c r="L38" s="9" t="s">
        <v>376</v>
      </c>
      <c r="M38" s="8" t="str">
        <f aca="false">IF(C38="","",IF(C38&gt;=2021,"Sí","No"))</f>
        <v>Sí</v>
      </c>
      <c r="N38" s="9" t="s">
        <v>377</v>
      </c>
      <c r="O38" s="9" t="s">
        <v>378</v>
      </c>
    </row>
    <row r="39" customFormat="false" ht="57.75" hidden="false" customHeight="true" outlineLevel="0" collapsed="false">
      <c r="A39" s="10" t="n">
        <v>38</v>
      </c>
      <c r="B39" s="11" t="s">
        <v>379</v>
      </c>
      <c r="C39" s="10" t="n">
        <v>2025</v>
      </c>
      <c r="D39" s="11" t="s">
        <v>380</v>
      </c>
      <c r="E39" s="11" t="s">
        <v>103</v>
      </c>
      <c r="F39" s="11" t="s">
        <v>42</v>
      </c>
      <c r="G39" s="11" t="s">
        <v>381</v>
      </c>
      <c r="H39" s="11" t="s">
        <v>84</v>
      </c>
      <c r="I39" s="11" t="s">
        <v>382</v>
      </c>
      <c r="J39" s="11" t="s">
        <v>383</v>
      </c>
      <c r="K39" s="11" t="s">
        <v>384</v>
      </c>
      <c r="L39" s="11" t="s">
        <v>385</v>
      </c>
      <c r="M39" s="10" t="str">
        <f aca="false">IF(C39="","",IF(C39&gt;=2021,"Sí","No"))</f>
        <v>Sí</v>
      </c>
      <c r="N39" s="11" t="s">
        <v>386</v>
      </c>
      <c r="O39" s="11" t="s">
        <v>387</v>
      </c>
    </row>
    <row r="40" customFormat="false" ht="57.75" hidden="false" customHeight="true" outlineLevel="0" collapsed="false">
      <c r="A40" s="8" t="n">
        <v>39</v>
      </c>
      <c r="B40" s="9" t="s">
        <v>388</v>
      </c>
      <c r="C40" s="8" t="n">
        <v>2024</v>
      </c>
      <c r="D40" s="9" t="s">
        <v>389</v>
      </c>
      <c r="E40" s="9" t="s">
        <v>41</v>
      </c>
      <c r="F40" s="9" t="s">
        <v>42</v>
      </c>
      <c r="G40" s="9" t="s">
        <v>390</v>
      </c>
      <c r="H40" s="9" t="s">
        <v>84</v>
      </c>
      <c r="I40" s="9" t="s">
        <v>391</v>
      </c>
      <c r="J40" s="9" t="s">
        <v>392</v>
      </c>
      <c r="K40" s="9" t="s">
        <v>393</v>
      </c>
      <c r="L40" s="9" t="s">
        <v>394</v>
      </c>
      <c r="M40" s="8" t="str">
        <f aca="false">IF(C40="","",IF(C40&gt;=2021,"Sí","No"))</f>
        <v>Sí</v>
      </c>
      <c r="N40" s="9" t="s">
        <v>395</v>
      </c>
      <c r="O40" s="9" t="s">
        <v>396</v>
      </c>
    </row>
    <row r="41" customFormat="false" ht="57.75" hidden="false" customHeight="true" outlineLevel="0" collapsed="false">
      <c r="A41" s="10" t="n">
        <v>40</v>
      </c>
      <c r="B41" s="11" t="s">
        <v>397</v>
      </c>
      <c r="C41" s="10" t="n">
        <v>2023</v>
      </c>
      <c r="D41" s="11" t="s">
        <v>398</v>
      </c>
      <c r="E41" s="11" t="s">
        <v>41</v>
      </c>
      <c r="F41" s="11" t="s">
        <v>42</v>
      </c>
      <c r="G41" s="11" t="s">
        <v>399</v>
      </c>
      <c r="H41" s="11" t="s">
        <v>84</v>
      </c>
      <c r="I41" s="11" t="s">
        <v>400</v>
      </c>
      <c r="J41" s="11" t="s">
        <v>401</v>
      </c>
      <c r="K41" s="11" t="s">
        <v>402</v>
      </c>
      <c r="L41" s="11" t="s">
        <v>403</v>
      </c>
      <c r="M41" s="10" t="str">
        <f aca="false">IF(C41="","",IF(C41&gt;=2021,"Sí","No"))</f>
        <v>Sí</v>
      </c>
      <c r="N41" s="11" t="s">
        <v>404</v>
      </c>
      <c r="O41" s="11" t="s">
        <v>405</v>
      </c>
    </row>
    <row r="42" customFormat="false" ht="57.75" hidden="false" customHeight="true" outlineLevel="0" collapsed="false">
      <c r="A42" s="8" t="n">
        <v>41</v>
      </c>
      <c r="B42" s="9" t="s">
        <v>406</v>
      </c>
      <c r="C42" s="8" t="n">
        <v>2023</v>
      </c>
      <c r="D42" s="9" t="s">
        <v>407</v>
      </c>
      <c r="E42" s="9" t="s">
        <v>41</v>
      </c>
      <c r="F42" s="9" t="s">
        <v>42</v>
      </c>
      <c r="G42" s="9" t="s">
        <v>408</v>
      </c>
      <c r="H42" s="9" t="s">
        <v>84</v>
      </c>
      <c r="I42" s="9" t="s">
        <v>409</v>
      </c>
      <c r="J42" s="9" t="s">
        <v>410</v>
      </c>
      <c r="K42" s="9" t="s">
        <v>411</v>
      </c>
      <c r="L42" s="9" t="s">
        <v>412</v>
      </c>
      <c r="M42" s="8" t="str">
        <f aca="false">IF(C42="","",IF(C42&gt;=2021,"Sí","No"))</f>
        <v>Sí</v>
      </c>
      <c r="N42" s="9" t="s">
        <v>413</v>
      </c>
      <c r="O42" s="9" t="s">
        <v>414</v>
      </c>
    </row>
    <row r="43" customFormat="false" ht="57.75" hidden="false" customHeight="true" outlineLevel="0" collapsed="false">
      <c r="A43" s="10" t="n">
        <v>42</v>
      </c>
      <c r="B43" s="11" t="s">
        <v>415</v>
      </c>
      <c r="C43" s="10" t="n">
        <v>2023</v>
      </c>
      <c r="D43" s="11" t="s">
        <v>416</v>
      </c>
      <c r="E43" s="11" t="s">
        <v>41</v>
      </c>
      <c r="F43" s="11" t="s">
        <v>42</v>
      </c>
      <c r="G43" s="11" t="s">
        <v>417</v>
      </c>
      <c r="H43" s="11" t="s">
        <v>64</v>
      </c>
      <c r="I43" s="11" t="s">
        <v>418</v>
      </c>
      <c r="J43" s="11" t="s">
        <v>419</v>
      </c>
      <c r="K43" s="11" t="s">
        <v>420</v>
      </c>
      <c r="L43" s="11" t="s">
        <v>421</v>
      </c>
      <c r="M43" s="10" t="str">
        <f aca="false">IF(C43="","",IF(C43&gt;=2021,"Sí","No"))</f>
        <v>Sí</v>
      </c>
      <c r="N43" s="11" t="s">
        <v>422</v>
      </c>
      <c r="O43" s="11" t="s">
        <v>423</v>
      </c>
    </row>
    <row r="44" customFormat="false" ht="57.75" hidden="false" customHeight="true" outlineLevel="0" collapsed="false">
      <c r="A44" s="8" t="n">
        <v>43</v>
      </c>
      <c r="B44" s="9" t="s">
        <v>424</v>
      </c>
      <c r="C44" s="8" t="n">
        <v>2024</v>
      </c>
      <c r="D44" s="9" t="s">
        <v>425</v>
      </c>
      <c r="E44" s="9" t="s">
        <v>41</v>
      </c>
      <c r="F44" s="9" t="s">
        <v>42</v>
      </c>
      <c r="G44" s="9" t="s">
        <v>426</v>
      </c>
      <c r="H44" s="9" t="s">
        <v>64</v>
      </c>
      <c r="I44" s="9" t="s">
        <v>427</v>
      </c>
      <c r="J44" s="9" t="s">
        <v>428</v>
      </c>
      <c r="K44" s="9" t="s">
        <v>429</v>
      </c>
      <c r="L44" s="9" t="s">
        <v>430</v>
      </c>
      <c r="M44" s="8" t="str">
        <f aca="false">IF(C44="","",IF(C44&gt;=2021,"Sí","No"))</f>
        <v>Sí</v>
      </c>
      <c r="N44" s="9" t="s">
        <v>431</v>
      </c>
      <c r="O44" s="9" t="s">
        <v>432</v>
      </c>
    </row>
    <row r="45" customFormat="false" ht="57.75" hidden="false" customHeight="true" outlineLevel="0" collapsed="false">
      <c r="A45" s="10" t="n">
        <v>44</v>
      </c>
      <c r="B45" s="11" t="s">
        <v>433</v>
      </c>
      <c r="C45" s="10" t="n">
        <v>2024</v>
      </c>
      <c r="D45" s="11" t="s">
        <v>434</v>
      </c>
      <c r="E45" s="11" t="s">
        <v>103</v>
      </c>
      <c r="F45" s="11" t="s">
        <v>42</v>
      </c>
      <c r="G45" s="11" t="s">
        <v>435</v>
      </c>
      <c r="H45" s="11" t="s">
        <v>44</v>
      </c>
      <c r="I45" s="11" t="s">
        <v>436</v>
      </c>
      <c r="J45" s="11" t="s">
        <v>437</v>
      </c>
      <c r="K45" s="11" t="s">
        <v>438</v>
      </c>
      <c r="L45" s="11" t="s">
        <v>439</v>
      </c>
      <c r="M45" s="10" t="str">
        <f aca="false">IF(C45="","",IF(C45&gt;=2021,"Sí","No"))</f>
        <v>Sí</v>
      </c>
      <c r="N45" s="11" t="s">
        <v>440</v>
      </c>
      <c r="O45" s="11" t="s">
        <v>441</v>
      </c>
    </row>
    <row r="46" customFormat="false" ht="57.75" hidden="false" customHeight="true" outlineLevel="0" collapsed="false">
      <c r="A46" s="8" t="n">
        <v>45</v>
      </c>
      <c r="B46" s="9" t="s">
        <v>442</v>
      </c>
      <c r="C46" s="8" t="n">
        <v>2023</v>
      </c>
      <c r="D46" s="9" t="s">
        <v>443</v>
      </c>
      <c r="E46" s="9" t="s">
        <v>103</v>
      </c>
      <c r="F46" s="9" t="s">
        <v>42</v>
      </c>
      <c r="G46" s="9" t="s">
        <v>444</v>
      </c>
      <c r="H46" s="9" t="s">
        <v>159</v>
      </c>
      <c r="I46" s="9" t="s">
        <v>445</v>
      </c>
      <c r="J46" s="9" t="s">
        <v>446</v>
      </c>
      <c r="K46" s="9" t="s">
        <v>447</v>
      </c>
      <c r="L46" s="9" t="s">
        <v>448</v>
      </c>
      <c r="M46" s="8" t="str">
        <f aca="false">IF(C46="","",IF(C46&gt;=2021,"Sí","No"))</f>
        <v>Sí</v>
      </c>
      <c r="N46" s="9" t="s">
        <v>449</v>
      </c>
      <c r="O46" s="9" t="s">
        <v>450</v>
      </c>
    </row>
    <row r="47" customFormat="false" ht="57.75" hidden="false" customHeight="true" outlineLevel="0" collapsed="false">
      <c r="A47" s="10" t="n">
        <v>46</v>
      </c>
      <c r="B47" s="11" t="s">
        <v>451</v>
      </c>
      <c r="C47" s="10" t="n">
        <v>2022</v>
      </c>
      <c r="D47" s="11" t="s">
        <v>452</v>
      </c>
      <c r="E47" s="11" t="s">
        <v>103</v>
      </c>
      <c r="F47" s="11" t="s">
        <v>42</v>
      </c>
      <c r="G47" s="11" t="s">
        <v>453</v>
      </c>
      <c r="H47" s="11" t="s">
        <v>84</v>
      </c>
      <c r="I47" s="11" t="s">
        <v>454</v>
      </c>
      <c r="J47" s="11" t="s">
        <v>142</v>
      </c>
      <c r="K47" s="11" t="s">
        <v>455</v>
      </c>
      <c r="L47" s="11" t="s">
        <v>456</v>
      </c>
      <c r="M47" s="10" t="str">
        <f aca="false">IF(C47="","",IF(C47&gt;=2021,"Sí","No"))</f>
        <v>Sí</v>
      </c>
      <c r="N47" s="11" t="s">
        <v>457</v>
      </c>
      <c r="O47" s="11" t="s">
        <v>458</v>
      </c>
    </row>
    <row r="48" customFormat="false" ht="57.75" hidden="false" customHeight="true" outlineLevel="0" collapsed="false">
      <c r="A48" s="8" t="n">
        <v>47</v>
      </c>
      <c r="B48" s="9" t="s">
        <v>459</v>
      </c>
      <c r="C48" s="8" t="n">
        <v>2023</v>
      </c>
      <c r="D48" s="9" t="s">
        <v>460</v>
      </c>
      <c r="E48" s="9" t="s">
        <v>41</v>
      </c>
      <c r="F48" s="9" t="s">
        <v>42</v>
      </c>
      <c r="G48" s="9" t="s">
        <v>461</v>
      </c>
      <c r="H48" s="9" t="s">
        <v>64</v>
      </c>
      <c r="I48" s="9" t="s">
        <v>462</v>
      </c>
      <c r="J48" s="9" t="s">
        <v>463</v>
      </c>
      <c r="K48" s="9" t="s">
        <v>464</v>
      </c>
      <c r="L48" s="9" t="s">
        <v>465</v>
      </c>
      <c r="M48" s="8" t="str">
        <f aca="false">IF(C48="","",IF(C48&gt;=2021,"Sí","No"))</f>
        <v>Sí</v>
      </c>
      <c r="N48" s="9" t="s">
        <v>466</v>
      </c>
      <c r="O48" s="9" t="s">
        <v>467</v>
      </c>
    </row>
    <row r="49" customFormat="false" ht="57.75" hidden="false" customHeight="true" outlineLevel="0" collapsed="false">
      <c r="A49" s="10" t="n">
        <v>48</v>
      </c>
      <c r="B49" s="11" t="s">
        <v>468</v>
      </c>
      <c r="C49" s="10" t="n">
        <v>2022</v>
      </c>
      <c r="D49" s="11" t="s">
        <v>469</v>
      </c>
      <c r="E49" s="11" t="s">
        <v>103</v>
      </c>
      <c r="F49" s="11" t="s">
        <v>42</v>
      </c>
      <c r="G49" s="11" t="s">
        <v>470</v>
      </c>
      <c r="H49" s="11" t="s">
        <v>74</v>
      </c>
      <c r="I49" s="11" t="s">
        <v>471</v>
      </c>
      <c r="J49" s="11" t="s">
        <v>142</v>
      </c>
      <c r="K49" s="11" t="s">
        <v>472</v>
      </c>
      <c r="L49" s="11" t="s">
        <v>473</v>
      </c>
      <c r="M49" s="10" t="str">
        <f aca="false">IF(C49="","",IF(C49&gt;=2021,"Sí","No"))</f>
        <v>Sí</v>
      </c>
      <c r="N49" s="11" t="s">
        <v>474</v>
      </c>
      <c r="O49" s="11" t="s">
        <v>475</v>
      </c>
    </row>
    <row r="50" customFormat="false" ht="57.75" hidden="false" customHeight="true" outlineLevel="0" collapsed="false">
      <c r="A50" s="8" t="n">
        <v>49</v>
      </c>
      <c r="B50" s="9" t="s">
        <v>476</v>
      </c>
      <c r="C50" s="8" t="n">
        <v>2022</v>
      </c>
      <c r="D50" s="9" t="s">
        <v>477</v>
      </c>
      <c r="E50" s="9" t="s">
        <v>103</v>
      </c>
      <c r="F50" s="9" t="s">
        <v>42</v>
      </c>
      <c r="G50" s="9" t="s">
        <v>478</v>
      </c>
      <c r="H50" s="9" t="s">
        <v>54</v>
      </c>
      <c r="I50" s="9" t="s">
        <v>479</v>
      </c>
      <c r="J50" s="9" t="s">
        <v>480</v>
      </c>
      <c r="K50" s="9" t="s">
        <v>481</v>
      </c>
      <c r="L50" s="9" t="s">
        <v>482</v>
      </c>
      <c r="M50" s="8" t="str">
        <f aca="false">IF(C50="","",IF(C50&gt;=2021,"Sí","No"))</f>
        <v>Sí</v>
      </c>
      <c r="N50" s="9" t="s">
        <v>483</v>
      </c>
      <c r="O50" s="9" t="s">
        <v>484</v>
      </c>
    </row>
    <row r="51" customFormat="false" ht="57.75" hidden="false" customHeight="true" outlineLevel="0" collapsed="false">
      <c r="A51" s="10" t="n">
        <v>50</v>
      </c>
      <c r="B51" s="11" t="s">
        <v>485</v>
      </c>
      <c r="C51" s="10" t="n">
        <v>2024</v>
      </c>
      <c r="D51" s="11" t="s">
        <v>486</v>
      </c>
      <c r="E51" s="11" t="s">
        <v>41</v>
      </c>
      <c r="F51" s="11" t="s">
        <v>42</v>
      </c>
      <c r="G51" s="11" t="s">
        <v>487</v>
      </c>
      <c r="H51" s="11" t="s">
        <v>74</v>
      </c>
      <c r="I51" s="11" t="s">
        <v>488</v>
      </c>
      <c r="J51" s="11" t="s">
        <v>489</v>
      </c>
      <c r="K51" s="11" t="s">
        <v>490</v>
      </c>
      <c r="L51" s="11" t="s">
        <v>491</v>
      </c>
      <c r="M51" s="10" t="str">
        <f aca="false">IF(C51="","",IF(C51&gt;=2021,"Sí","No"))</f>
        <v>Sí</v>
      </c>
      <c r="N51" s="11" t="s">
        <v>492</v>
      </c>
      <c r="O51" s="11" t="s">
        <v>493</v>
      </c>
    </row>
    <row r="52" customFormat="false" ht="57.75" hidden="false" customHeight="true" outlineLevel="0" collapsed="false">
      <c r="A52" s="8" t="n">
        <v>51</v>
      </c>
      <c r="B52" s="9" t="s">
        <v>494</v>
      </c>
      <c r="C52" s="8" t="n">
        <v>2023</v>
      </c>
      <c r="D52" s="9" t="s">
        <v>495</v>
      </c>
      <c r="E52" s="9" t="s">
        <v>41</v>
      </c>
      <c r="F52" s="9" t="s">
        <v>42</v>
      </c>
      <c r="G52" s="9" t="s">
        <v>496</v>
      </c>
      <c r="H52" s="9" t="s">
        <v>74</v>
      </c>
      <c r="I52" s="9" t="s">
        <v>497</v>
      </c>
      <c r="J52" s="9" t="s">
        <v>498</v>
      </c>
      <c r="K52" s="9" t="s">
        <v>499</v>
      </c>
      <c r="L52" s="9" t="s">
        <v>500</v>
      </c>
      <c r="M52" s="8" t="str">
        <f aca="false">IF(C52="","",IF(C52&gt;=2021,"Sí","No"))</f>
        <v>Sí</v>
      </c>
      <c r="N52" s="9" t="s">
        <v>501</v>
      </c>
      <c r="O52" s="9" t="s">
        <v>502</v>
      </c>
    </row>
    <row r="53" customFormat="false" ht="57.75" hidden="false" customHeight="true" outlineLevel="0" collapsed="false">
      <c r="A53" s="10" t="n">
        <v>52</v>
      </c>
      <c r="B53" s="11" t="s">
        <v>503</v>
      </c>
      <c r="C53" s="10" t="n">
        <v>2023</v>
      </c>
      <c r="D53" s="11" t="s">
        <v>504</v>
      </c>
      <c r="E53" s="11" t="s">
        <v>41</v>
      </c>
      <c r="F53" s="11" t="s">
        <v>42</v>
      </c>
      <c r="G53" s="11" t="s">
        <v>505</v>
      </c>
      <c r="H53" s="11" t="s">
        <v>74</v>
      </c>
      <c r="I53" s="11" t="s">
        <v>506</v>
      </c>
      <c r="J53" s="11" t="s">
        <v>507</v>
      </c>
      <c r="K53" s="11" t="s">
        <v>508</v>
      </c>
      <c r="L53" s="11" t="s">
        <v>509</v>
      </c>
      <c r="M53" s="10" t="str">
        <f aca="false">IF(C53="","",IF(C53&gt;=2021,"Sí","No"))</f>
        <v>Sí</v>
      </c>
      <c r="N53" s="11" t="s">
        <v>510</v>
      </c>
      <c r="O53" s="11" t="s">
        <v>511</v>
      </c>
    </row>
    <row r="54" customFormat="false" ht="57.75" hidden="false" customHeight="true" outlineLevel="0" collapsed="false">
      <c r="A54" s="8" t="n">
        <v>53</v>
      </c>
      <c r="B54" s="9" t="s">
        <v>512</v>
      </c>
      <c r="C54" s="8" t="n">
        <v>2024</v>
      </c>
      <c r="D54" s="9" t="s">
        <v>513</v>
      </c>
      <c r="E54" s="9" t="s">
        <v>41</v>
      </c>
      <c r="F54" s="9" t="s">
        <v>42</v>
      </c>
      <c r="G54" s="9" t="s">
        <v>514</v>
      </c>
      <c r="H54" s="9" t="s">
        <v>74</v>
      </c>
      <c r="I54" s="9" t="s">
        <v>515</v>
      </c>
      <c r="J54" s="9" t="s">
        <v>516</v>
      </c>
      <c r="K54" s="9" t="s">
        <v>517</v>
      </c>
      <c r="L54" s="9" t="s">
        <v>518</v>
      </c>
      <c r="M54" s="8" t="str">
        <f aca="false">IF(C54="","",IF(C54&gt;=2021,"Sí","No"))</f>
        <v>Sí</v>
      </c>
      <c r="N54" s="9" t="s">
        <v>519</v>
      </c>
      <c r="O54" s="9" t="s">
        <v>520</v>
      </c>
    </row>
    <row r="55" customFormat="false" ht="57.75" hidden="false" customHeight="true" outlineLevel="0" collapsed="false">
      <c r="A55" s="10" t="n">
        <v>54</v>
      </c>
      <c r="B55" s="11" t="s">
        <v>521</v>
      </c>
      <c r="C55" s="10" t="n">
        <v>2023</v>
      </c>
      <c r="D55" s="11" t="s">
        <v>522</v>
      </c>
      <c r="E55" s="11" t="s">
        <v>41</v>
      </c>
      <c r="F55" s="11" t="s">
        <v>42</v>
      </c>
      <c r="G55" s="11" t="s">
        <v>523</v>
      </c>
      <c r="H55" s="11" t="s">
        <v>84</v>
      </c>
      <c r="I55" s="11" t="s">
        <v>524</v>
      </c>
      <c r="J55" s="11" t="s">
        <v>525</v>
      </c>
      <c r="K55" s="11" t="s">
        <v>526</v>
      </c>
      <c r="L55" s="11" t="s">
        <v>527</v>
      </c>
      <c r="M55" s="10" t="str">
        <f aca="false">IF(C55="","",IF(C55&gt;=2021,"Sí","No"))</f>
        <v>Sí</v>
      </c>
      <c r="N55" s="11" t="s">
        <v>528</v>
      </c>
      <c r="O55" s="11" t="s">
        <v>529</v>
      </c>
    </row>
    <row r="56" customFormat="false" ht="57.75" hidden="false" customHeight="true" outlineLevel="0" collapsed="false">
      <c r="A56" s="8" t="n">
        <v>55</v>
      </c>
      <c r="B56" s="9" t="s">
        <v>530</v>
      </c>
      <c r="C56" s="8" t="n">
        <v>2023</v>
      </c>
      <c r="D56" s="9" t="s">
        <v>531</v>
      </c>
      <c r="E56" s="9" t="s">
        <v>41</v>
      </c>
      <c r="F56" s="9" t="s">
        <v>42</v>
      </c>
      <c r="G56" s="9" t="s">
        <v>532</v>
      </c>
      <c r="H56" s="9" t="s">
        <v>84</v>
      </c>
      <c r="I56" s="9" t="s">
        <v>533</v>
      </c>
      <c r="J56" s="9" t="s">
        <v>534</v>
      </c>
      <c r="K56" s="9" t="s">
        <v>535</v>
      </c>
      <c r="L56" s="9" t="s">
        <v>536</v>
      </c>
      <c r="M56" s="8" t="str">
        <f aca="false">IF(C56="","",IF(C56&gt;=2021,"Sí","No"))</f>
        <v>Sí</v>
      </c>
      <c r="N56" s="9" t="s">
        <v>537</v>
      </c>
      <c r="O56" s="9" t="s">
        <v>538</v>
      </c>
    </row>
    <row r="57" customFormat="false" ht="57.75" hidden="false" customHeight="true" outlineLevel="0" collapsed="false">
      <c r="A57" s="10" t="n">
        <v>56</v>
      </c>
      <c r="B57" s="11" t="s">
        <v>539</v>
      </c>
      <c r="C57" s="10" t="n">
        <v>2023</v>
      </c>
      <c r="D57" s="11" t="s">
        <v>540</v>
      </c>
      <c r="E57" s="11" t="s">
        <v>41</v>
      </c>
      <c r="F57" s="11" t="s">
        <v>42</v>
      </c>
      <c r="G57" s="11" t="s">
        <v>541</v>
      </c>
      <c r="H57" s="11" t="s">
        <v>64</v>
      </c>
      <c r="I57" s="11" t="s">
        <v>542</v>
      </c>
      <c r="J57" s="11" t="s">
        <v>543</v>
      </c>
      <c r="K57" s="11" t="s">
        <v>544</v>
      </c>
      <c r="L57" s="11" t="s">
        <v>545</v>
      </c>
      <c r="M57" s="10" t="str">
        <f aca="false">IF(C57="","",IF(C57&gt;=2021,"Sí","No"))</f>
        <v>Sí</v>
      </c>
      <c r="N57" s="11" t="s">
        <v>546</v>
      </c>
      <c r="O57" s="11" t="s">
        <v>547</v>
      </c>
    </row>
    <row r="58" customFormat="false" ht="57.75" hidden="false" customHeight="true" outlineLevel="0" collapsed="false">
      <c r="A58" s="8" t="n">
        <v>57</v>
      </c>
      <c r="B58" s="9" t="s">
        <v>548</v>
      </c>
      <c r="C58" s="8" t="n">
        <v>2023</v>
      </c>
      <c r="D58" s="9" t="s">
        <v>549</v>
      </c>
      <c r="E58" s="9" t="s">
        <v>41</v>
      </c>
      <c r="F58" s="9" t="s">
        <v>42</v>
      </c>
      <c r="G58" s="9" t="s">
        <v>550</v>
      </c>
      <c r="H58" s="9" t="s">
        <v>64</v>
      </c>
      <c r="I58" s="9" t="s">
        <v>551</v>
      </c>
      <c r="J58" s="9" t="s">
        <v>552</v>
      </c>
      <c r="K58" s="9" t="s">
        <v>553</v>
      </c>
      <c r="L58" s="9" t="s">
        <v>545</v>
      </c>
      <c r="M58" s="8" t="str">
        <f aca="false">IF(C58="","",IF(C58&gt;=2021,"Sí","No"))</f>
        <v>Sí</v>
      </c>
      <c r="N58" s="9" t="s">
        <v>554</v>
      </c>
      <c r="O58" s="9" t="s">
        <v>555</v>
      </c>
    </row>
    <row r="59" customFormat="false" ht="57.75" hidden="false" customHeight="true" outlineLevel="0" collapsed="false">
      <c r="A59" s="10" t="n">
        <v>58</v>
      </c>
      <c r="B59" s="11" t="s">
        <v>556</v>
      </c>
      <c r="C59" s="10" t="n">
        <v>2024</v>
      </c>
      <c r="D59" s="11" t="s">
        <v>557</v>
      </c>
      <c r="E59" s="11" t="s">
        <v>103</v>
      </c>
      <c r="F59" s="11" t="s">
        <v>42</v>
      </c>
      <c r="G59" s="11" t="s">
        <v>558</v>
      </c>
      <c r="H59" s="11" t="s">
        <v>159</v>
      </c>
      <c r="I59" s="11" t="s">
        <v>559</v>
      </c>
      <c r="J59" s="11" t="s">
        <v>560</v>
      </c>
      <c r="K59" s="11" t="s">
        <v>561</v>
      </c>
      <c r="L59" s="11" t="s">
        <v>562</v>
      </c>
      <c r="M59" s="10" t="str">
        <f aca="false">IF(C59="","",IF(C59&gt;=2021,"Sí","No"))</f>
        <v>Sí</v>
      </c>
      <c r="N59" s="11" t="s">
        <v>563</v>
      </c>
      <c r="O59" s="11" t="s">
        <v>564</v>
      </c>
    </row>
    <row r="60" customFormat="false" ht="57.75" hidden="false" customHeight="true" outlineLevel="0" collapsed="false">
      <c r="A60" s="8" t="n">
        <v>59</v>
      </c>
      <c r="B60" s="9" t="s">
        <v>565</v>
      </c>
      <c r="C60" s="8" t="n">
        <v>2022</v>
      </c>
      <c r="D60" s="9" t="s">
        <v>566</v>
      </c>
      <c r="E60" s="9" t="s">
        <v>41</v>
      </c>
      <c r="F60" s="9" t="s">
        <v>42</v>
      </c>
      <c r="G60" s="9" t="s">
        <v>567</v>
      </c>
      <c r="H60" s="9" t="s">
        <v>74</v>
      </c>
      <c r="I60" s="9" t="s">
        <v>568</v>
      </c>
      <c r="J60" s="9" t="s">
        <v>569</v>
      </c>
      <c r="K60" s="9" t="s">
        <v>570</v>
      </c>
      <c r="L60" s="9" t="s">
        <v>571</v>
      </c>
      <c r="M60" s="8" t="str">
        <f aca="false">IF(C60="","",IF(C60&gt;=2021,"Sí","No"))</f>
        <v>Sí</v>
      </c>
      <c r="N60" s="9" t="s">
        <v>572</v>
      </c>
      <c r="O60" s="9" t="s">
        <v>573</v>
      </c>
    </row>
    <row r="61" customFormat="false" ht="57.75" hidden="false" customHeight="true" outlineLevel="0" collapsed="false">
      <c r="A61" s="10" t="n">
        <v>60</v>
      </c>
      <c r="B61" s="11" t="s">
        <v>574</v>
      </c>
      <c r="C61" s="10" t="n">
        <v>2026</v>
      </c>
      <c r="D61" s="11" t="s">
        <v>575</v>
      </c>
      <c r="E61" s="11" t="s">
        <v>576</v>
      </c>
      <c r="F61" s="11" t="s">
        <v>42</v>
      </c>
      <c r="G61" s="11" t="s">
        <v>577</v>
      </c>
      <c r="H61" s="11" t="s">
        <v>84</v>
      </c>
      <c r="I61" s="11" t="s">
        <v>578</v>
      </c>
      <c r="J61" s="11" t="s">
        <v>579</v>
      </c>
      <c r="K61" s="11" t="s">
        <v>580</v>
      </c>
      <c r="L61" s="11" t="s">
        <v>581</v>
      </c>
      <c r="M61" s="10" t="str">
        <f aca="false">IF(C61="","",IF(C61&gt;=2021,"Sí","No"))</f>
        <v>Sí</v>
      </c>
      <c r="N61" s="11" t="s">
        <v>582</v>
      </c>
      <c r="O61" s="11" t="s">
        <v>583</v>
      </c>
    </row>
    <row r="62" customFormat="false" ht="57.75" hidden="false" customHeight="true" outlineLevel="0" collapsed="false">
      <c r="A62" s="8" t="n">
        <v>61</v>
      </c>
      <c r="B62" s="9" t="s">
        <v>584</v>
      </c>
      <c r="C62" s="8" t="n">
        <v>2026</v>
      </c>
      <c r="D62" s="9" t="s">
        <v>585</v>
      </c>
      <c r="E62" s="9" t="s">
        <v>576</v>
      </c>
      <c r="F62" s="9" t="s">
        <v>42</v>
      </c>
      <c r="G62" s="9" t="s">
        <v>586</v>
      </c>
      <c r="H62" s="9" t="s">
        <v>74</v>
      </c>
      <c r="I62" s="9" t="s">
        <v>587</v>
      </c>
      <c r="J62" s="9" t="s">
        <v>588</v>
      </c>
      <c r="K62" s="9" t="s">
        <v>589</v>
      </c>
      <c r="L62" s="9" t="s">
        <v>590</v>
      </c>
      <c r="M62" s="8" t="str">
        <f aca="false">IF(C62="","",IF(C62&gt;=2021,"Sí","No"))</f>
        <v>Sí</v>
      </c>
      <c r="N62" s="9" t="s">
        <v>591</v>
      </c>
      <c r="O62" s="9" t="s">
        <v>307</v>
      </c>
    </row>
    <row r="63" customFormat="false" ht="57.75" hidden="false" customHeight="true" outlineLevel="0" collapsed="false">
      <c r="A63" s="10" t="n">
        <v>62</v>
      </c>
      <c r="B63" s="11" t="s">
        <v>592</v>
      </c>
      <c r="C63" s="10" t="n">
        <v>2026</v>
      </c>
      <c r="D63" s="11" t="s">
        <v>593</v>
      </c>
      <c r="E63" s="11" t="s">
        <v>103</v>
      </c>
      <c r="F63" s="11" t="s">
        <v>42</v>
      </c>
      <c r="G63" s="11" t="s">
        <v>594</v>
      </c>
      <c r="H63" s="11" t="s">
        <v>64</v>
      </c>
      <c r="I63" s="11" t="s">
        <v>595</v>
      </c>
      <c r="J63" s="11" t="s">
        <v>596</v>
      </c>
      <c r="K63" s="11" t="s">
        <v>597</v>
      </c>
      <c r="L63" s="11" t="s">
        <v>598</v>
      </c>
      <c r="M63" s="10" t="str">
        <f aca="false">IF(C63="","",IF(C63&gt;=2021,"Sí","No"))</f>
        <v>Sí</v>
      </c>
      <c r="N63" s="11" t="s">
        <v>599</v>
      </c>
      <c r="O63" s="11" t="s">
        <v>600</v>
      </c>
    </row>
    <row r="64" customFormat="false" ht="57.75" hidden="false" customHeight="true" outlineLevel="0" collapsed="false">
      <c r="A64" s="8" t="n">
        <v>63</v>
      </c>
      <c r="B64" s="9" t="s">
        <v>601</v>
      </c>
      <c r="C64" s="8" t="n">
        <v>2026</v>
      </c>
      <c r="D64" s="9" t="s">
        <v>602</v>
      </c>
      <c r="E64" s="9" t="s">
        <v>41</v>
      </c>
      <c r="F64" s="9" t="s">
        <v>42</v>
      </c>
      <c r="G64" s="9" t="s">
        <v>603</v>
      </c>
      <c r="H64" s="9" t="s">
        <v>84</v>
      </c>
      <c r="I64" s="9" t="s">
        <v>604</v>
      </c>
      <c r="J64" s="9" t="s">
        <v>605</v>
      </c>
      <c r="K64" s="9" t="s">
        <v>606</v>
      </c>
      <c r="L64" s="9" t="s">
        <v>607</v>
      </c>
      <c r="M64" s="8" t="str">
        <f aca="false">IF(C64="","",IF(C64&gt;=2021,"Sí","No"))</f>
        <v>Sí</v>
      </c>
      <c r="N64" s="9" t="s">
        <v>608</v>
      </c>
      <c r="O64" s="9" t="s">
        <v>609</v>
      </c>
    </row>
    <row r="65" customFormat="false" ht="57.75" hidden="false" customHeight="true" outlineLevel="0" collapsed="false">
      <c r="A65" s="10" t="n">
        <v>64</v>
      </c>
      <c r="B65" s="11" t="s">
        <v>610</v>
      </c>
      <c r="C65" s="10" t="n">
        <v>2026</v>
      </c>
      <c r="D65" s="11" t="s">
        <v>611</v>
      </c>
      <c r="E65" s="11" t="s">
        <v>103</v>
      </c>
      <c r="F65" s="11" t="s">
        <v>42</v>
      </c>
      <c r="G65" s="11" t="s">
        <v>612</v>
      </c>
      <c r="H65" s="11" t="s">
        <v>84</v>
      </c>
      <c r="I65" s="11" t="s">
        <v>613</v>
      </c>
      <c r="J65" s="11" t="s">
        <v>133</v>
      </c>
      <c r="K65" s="11" t="s">
        <v>614</v>
      </c>
      <c r="L65" s="11" t="s">
        <v>615</v>
      </c>
      <c r="M65" s="10" t="str">
        <f aca="false">IF(C65="","",IF(C65&gt;=2021,"Sí","No"))</f>
        <v>Sí</v>
      </c>
      <c r="N65" s="11" t="s">
        <v>616</v>
      </c>
      <c r="O65" s="11" t="s">
        <v>617</v>
      </c>
    </row>
    <row r="66" customFormat="false" ht="57.75" hidden="false" customHeight="true" outlineLevel="0" collapsed="false">
      <c r="A66" s="8" t="n">
        <v>65</v>
      </c>
      <c r="B66" s="9" t="s">
        <v>618</v>
      </c>
      <c r="C66" s="8" t="n">
        <v>2022</v>
      </c>
      <c r="D66" s="9" t="s">
        <v>619</v>
      </c>
      <c r="E66" s="9" t="s">
        <v>103</v>
      </c>
      <c r="F66" s="9" t="s">
        <v>42</v>
      </c>
      <c r="G66" s="9" t="s">
        <v>620</v>
      </c>
      <c r="H66" s="9" t="s">
        <v>84</v>
      </c>
      <c r="I66" s="9" t="s">
        <v>621</v>
      </c>
      <c r="J66" s="9" t="s">
        <v>622</v>
      </c>
      <c r="K66" s="9" t="s">
        <v>623</v>
      </c>
      <c r="L66" s="9" t="s">
        <v>624</v>
      </c>
      <c r="M66" s="8" t="str">
        <f aca="false">IF(C66="","",IF(C66&gt;=2021,"Sí","No"))</f>
        <v>Sí</v>
      </c>
      <c r="N66" s="9" t="s">
        <v>625</v>
      </c>
      <c r="O66" s="9" t="s">
        <v>626</v>
      </c>
    </row>
    <row r="67" customFormat="false" ht="57.75" hidden="false" customHeight="true" outlineLevel="0" collapsed="false">
      <c r="A67" s="10" t="n">
        <v>66</v>
      </c>
      <c r="B67" s="11" t="s">
        <v>627</v>
      </c>
      <c r="C67" s="10" t="n">
        <v>2022</v>
      </c>
      <c r="D67" s="11" t="s">
        <v>628</v>
      </c>
      <c r="E67" s="11" t="s">
        <v>629</v>
      </c>
      <c r="F67" s="11" t="s">
        <v>42</v>
      </c>
      <c r="G67" s="11" t="s">
        <v>630</v>
      </c>
      <c r="H67" s="11" t="s">
        <v>84</v>
      </c>
      <c r="I67" s="11" t="s">
        <v>631</v>
      </c>
      <c r="J67" s="11" t="s">
        <v>133</v>
      </c>
      <c r="K67" s="11" t="s">
        <v>632</v>
      </c>
      <c r="L67" s="11" t="s">
        <v>633</v>
      </c>
      <c r="M67" s="10" t="str">
        <f aca="false">IF(C67="","",IF(C67&gt;=2021,"Sí","No"))</f>
        <v>Sí</v>
      </c>
      <c r="N67" s="11" t="s">
        <v>634</v>
      </c>
      <c r="O67" s="11" t="s">
        <v>635</v>
      </c>
    </row>
    <row r="68" customFormat="false" ht="57.75" hidden="false" customHeight="true" outlineLevel="0" collapsed="false">
      <c r="A68" s="8" t="n">
        <v>67</v>
      </c>
      <c r="B68" s="9" t="s">
        <v>636</v>
      </c>
      <c r="C68" s="8" t="n">
        <v>2026</v>
      </c>
      <c r="D68" s="9" t="s">
        <v>637</v>
      </c>
      <c r="E68" s="9" t="s">
        <v>41</v>
      </c>
      <c r="F68" s="9" t="s">
        <v>42</v>
      </c>
      <c r="G68" s="9" t="s">
        <v>638</v>
      </c>
      <c r="H68" s="9" t="s">
        <v>159</v>
      </c>
      <c r="I68" s="9" t="s">
        <v>639</v>
      </c>
      <c r="J68" s="9" t="s">
        <v>640</v>
      </c>
      <c r="K68" s="9" t="s">
        <v>641</v>
      </c>
      <c r="L68" s="9" t="s">
        <v>642</v>
      </c>
      <c r="M68" s="8" t="str">
        <f aca="false">IF(C68="","",IF(C68&gt;=2021,"Sí","No"))</f>
        <v>Sí</v>
      </c>
      <c r="N68" s="9" t="s">
        <v>643</v>
      </c>
      <c r="O68" s="9" t="s">
        <v>644</v>
      </c>
    </row>
    <row r="69" customFormat="false" ht="57.75" hidden="false" customHeight="true" outlineLevel="0" collapsed="false">
      <c r="A69" s="10" t="n">
        <v>68</v>
      </c>
      <c r="B69" s="11" t="s">
        <v>645</v>
      </c>
      <c r="C69" s="10" t="n">
        <v>2022</v>
      </c>
      <c r="D69" s="11" t="s">
        <v>646</v>
      </c>
      <c r="E69" s="11" t="s">
        <v>41</v>
      </c>
      <c r="F69" s="11" t="s">
        <v>42</v>
      </c>
      <c r="G69" s="11" t="s">
        <v>647</v>
      </c>
      <c r="H69" s="11" t="s">
        <v>74</v>
      </c>
      <c r="I69" s="11" t="s">
        <v>648</v>
      </c>
      <c r="J69" s="11" t="s">
        <v>649</v>
      </c>
      <c r="K69" s="11" t="s">
        <v>650</v>
      </c>
      <c r="L69" s="11" t="s">
        <v>590</v>
      </c>
      <c r="M69" s="10" t="str">
        <f aca="false">IF(C69="","",IF(C69&gt;=2021,"Sí","No"))</f>
        <v>Sí</v>
      </c>
      <c r="N69" s="11" t="s">
        <v>651</v>
      </c>
      <c r="O69" s="11" t="s">
        <v>652</v>
      </c>
    </row>
    <row r="70" customFormat="false" ht="57.75" hidden="false" customHeight="true" outlineLevel="0" collapsed="false">
      <c r="A70" s="8" t="n">
        <v>69</v>
      </c>
      <c r="B70" s="9" t="s">
        <v>653</v>
      </c>
      <c r="C70" s="8" t="n">
        <v>2022</v>
      </c>
      <c r="D70" s="9" t="s">
        <v>654</v>
      </c>
      <c r="E70" s="9" t="s">
        <v>41</v>
      </c>
      <c r="F70" s="9" t="s">
        <v>42</v>
      </c>
      <c r="G70" s="9" t="s">
        <v>655</v>
      </c>
      <c r="H70" s="9" t="s">
        <v>74</v>
      </c>
      <c r="I70" s="9" t="s">
        <v>656</v>
      </c>
      <c r="J70" s="9" t="s">
        <v>657</v>
      </c>
      <c r="K70" s="9" t="s">
        <v>658</v>
      </c>
      <c r="L70" s="9" t="s">
        <v>659</v>
      </c>
      <c r="M70" s="8" t="str">
        <f aca="false">IF(C70="","",IF(C70&gt;=2021,"Sí","No"))</f>
        <v>Sí</v>
      </c>
      <c r="N70" s="9" t="s">
        <v>660</v>
      </c>
      <c r="O70" s="9" t="s">
        <v>661</v>
      </c>
    </row>
    <row r="71" customFormat="false" ht="57.75" hidden="false" customHeight="true" outlineLevel="0" collapsed="false">
      <c r="A71" s="10" t="n">
        <v>70</v>
      </c>
      <c r="B71" s="11" t="s">
        <v>662</v>
      </c>
      <c r="C71" s="10" t="n">
        <v>2026</v>
      </c>
      <c r="D71" s="11" t="s">
        <v>663</v>
      </c>
      <c r="E71" s="11" t="s">
        <v>576</v>
      </c>
      <c r="F71" s="11" t="s">
        <v>42</v>
      </c>
      <c r="G71" s="11" t="s">
        <v>664</v>
      </c>
      <c r="H71" s="11" t="s">
        <v>44</v>
      </c>
      <c r="I71" s="11" t="s">
        <v>665</v>
      </c>
      <c r="J71" s="11" t="s">
        <v>666</v>
      </c>
      <c r="K71" s="11" t="s">
        <v>667</v>
      </c>
      <c r="L71" s="11" t="s">
        <v>668</v>
      </c>
      <c r="M71" s="10" t="str">
        <f aca="false">IF(C71="","",IF(C71&gt;=2021,"Sí","No"))</f>
        <v>Sí</v>
      </c>
      <c r="N71" s="11" t="s">
        <v>669</v>
      </c>
      <c r="O71" s="11" t="s">
        <v>670</v>
      </c>
    </row>
    <row r="72" customFormat="false" ht="57.75" hidden="false" customHeight="true" outlineLevel="0" collapsed="false">
      <c r="A72" s="8" t="n">
        <v>71</v>
      </c>
      <c r="B72" s="9" t="s">
        <v>671</v>
      </c>
      <c r="C72" s="8" t="n">
        <v>2022</v>
      </c>
      <c r="D72" s="9" t="s">
        <v>672</v>
      </c>
      <c r="E72" s="9" t="s">
        <v>41</v>
      </c>
      <c r="F72" s="9" t="s">
        <v>42</v>
      </c>
      <c r="G72" s="9" t="s">
        <v>673</v>
      </c>
      <c r="H72" s="9" t="s">
        <v>74</v>
      </c>
      <c r="I72" s="9" t="s">
        <v>674</v>
      </c>
      <c r="J72" s="9" t="s">
        <v>675</v>
      </c>
      <c r="K72" s="9" t="s">
        <v>676</v>
      </c>
      <c r="L72" s="9" t="s">
        <v>677</v>
      </c>
      <c r="M72" s="8" t="str">
        <f aca="false">IF(C72="","",IF(C72&gt;=2021,"Sí","No"))</f>
        <v>Sí</v>
      </c>
      <c r="N72" s="9" t="s">
        <v>678</v>
      </c>
      <c r="O72" s="9" t="s">
        <v>679</v>
      </c>
    </row>
    <row r="73" customFormat="false" ht="57.75" hidden="false" customHeight="true" outlineLevel="0" collapsed="false">
      <c r="A73" s="10" t="n">
        <v>72</v>
      </c>
      <c r="B73" s="11" t="s">
        <v>680</v>
      </c>
      <c r="C73" s="10" t="n">
        <v>2026</v>
      </c>
      <c r="D73" s="11" t="s">
        <v>681</v>
      </c>
      <c r="E73" s="11" t="s">
        <v>41</v>
      </c>
      <c r="F73" s="11" t="s">
        <v>42</v>
      </c>
      <c r="G73" s="11" t="s">
        <v>682</v>
      </c>
      <c r="H73" s="11" t="s">
        <v>74</v>
      </c>
      <c r="I73" s="11" t="s">
        <v>683</v>
      </c>
      <c r="J73" s="11" t="s">
        <v>684</v>
      </c>
      <c r="K73" s="11" t="s">
        <v>685</v>
      </c>
      <c r="L73" s="11" t="s">
        <v>686</v>
      </c>
      <c r="M73" s="10" t="str">
        <f aca="false">IF(C73="","",IF(C73&gt;=2021,"Sí","No"))</f>
        <v>Sí</v>
      </c>
      <c r="N73" s="11" t="s">
        <v>687</v>
      </c>
      <c r="O73" s="11" t="s">
        <v>688</v>
      </c>
    </row>
    <row r="74" customFormat="false" ht="57.75" hidden="false" customHeight="true" outlineLevel="0" collapsed="false">
      <c r="A74" s="8" t="n">
        <v>73</v>
      </c>
      <c r="B74" s="9" t="s">
        <v>689</v>
      </c>
      <c r="C74" s="8" t="n">
        <v>2026</v>
      </c>
      <c r="D74" s="9" t="s">
        <v>690</v>
      </c>
      <c r="E74" s="9" t="s">
        <v>576</v>
      </c>
      <c r="F74" s="9" t="s">
        <v>42</v>
      </c>
      <c r="G74" s="9" t="s">
        <v>691</v>
      </c>
      <c r="H74" s="9" t="s">
        <v>84</v>
      </c>
      <c r="I74" s="9" t="s">
        <v>692</v>
      </c>
      <c r="J74" s="9" t="s">
        <v>560</v>
      </c>
      <c r="K74" s="9" t="s">
        <v>693</v>
      </c>
      <c r="L74" s="9" t="s">
        <v>694</v>
      </c>
      <c r="M74" s="8" t="str">
        <f aca="false">IF(C74="","",IF(C74&gt;=2021,"Sí","No"))</f>
        <v>Sí</v>
      </c>
      <c r="N74" s="9" t="s">
        <v>695</v>
      </c>
      <c r="O74" s="9" t="s">
        <v>696</v>
      </c>
    </row>
    <row r="75" customFormat="false" ht="57.75" hidden="false" customHeight="true" outlineLevel="0" collapsed="false">
      <c r="A75" s="10" t="n">
        <v>74</v>
      </c>
      <c r="B75" s="11" t="s">
        <v>697</v>
      </c>
      <c r="C75" s="10" t="n">
        <v>2026</v>
      </c>
      <c r="D75" s="11" t="s">
        <v>698</v>
      </c>
      <c r="E75" s="11" t="s">
        <v>41</v>
      </c>
      <c r="F75" s="11" t="s">
        <v>42</v>
      </c>
      <c r="G75" s="11" t="s">
        <v>699</v>
      </c>
      <c r="H75" s="11" t="s">
        <v>84</v>
      </c>
      <c r="I75" s="11" t="s">
        <v>700</v>
      </c>
      <c r="J75" s="11" t="s">
        <v>640</v>
      </c>
      <c r="K75" s="11" t="s">
        <v>701</v>
      </c>
      <c r="L75" s="11" t="s">
        <v>702</v>
      </c>
      <c r="M75" s="10" t="str">
        <f aca="false">IF(C75="","",IF(C75&gt;=2021,"Sí","No"))</f>
        <v>Sí</v>
      </c>
      <c r="N75" s="11" t="s">
        <v>703</v>
      </c>
      <c r="O75" s="11" t="s">
        <v>704</v>
      </c>
    </row>
    <row r="76" customFormat="false" ht="57.75" hidden="false" customHeight="true" outlineLevel="0" collapsed="false">
      <c r="A76" s="8" t="n">
        <v>75</v>
      </c>
      <c r="B76" s="9" t="s">
        <v>705</v>
      </c>
      <c r="C76" s="8" t="n">
        <v>2026</v>
      </c>
      <c r="D76" s="9" t="s">
        <v>706</v>
      </c>
      <c r="E76" s="9" t="s">
        <v>629</v>
      </c>
      <c r="F76" s="9" t="s">
        <v>42</v>
      </c>
      <c r="G76" s="9" t="s">
        <v>707</v>
      </c>
      <c r="H76" s="9" t="s">
        <v>44</v>
      </c>
      <c r="I76" s="9" t="s">
        <v>708</v>
      </c>
      <c r="J76" s="9" t="s">
        <v>709</v>
      </c>
      <c r="K76" s="9" t="s">
        <v>710</v>
      </c>
      <c r="L76" s="9" t="s">
        <v>711</v>
      </c>
      <c r="M76" s="8" t="str">
        <f aca="false">IF(C76="","",IF(C76&gt;=2021,"Sí","No"))</f>
        <v>Sí</v>
      </c>
      <c r="N76" s="9" t="s">
        <v>712</v>
      </c>
      <c r="O76" s="9" t="s">
        <v>713</v>
      </c>
    </row>
    <row r="77" customFormat="false" ht="57.75" hidden="false" customHeight="true" outlineLevel="0" collapsed="false">
      <c r="A77" s="10" t="n">
        <v>76</v>
      </c>
      <c r="B77" s="11" t="s">
        <v>714</v>
      </c>
      <c r="C77" s="10" t="n">
        <v>2026</v>
      </c>
      <c r="D77" s="11" t="s">
        <v>715</v>
      </c>
      <c r="E77" s="11" t="s">
        <v>576</v>
      </c>
      <c r="F77" s="11" t="s">
        <v>42</v>
      </c>
      <c r="G77" s="11" t="s">
        <v>716</v>
      </c>
      <c r="H77" s="11" t="s">
        <v>74</v>
      </c>
      <c r="I77" s="11" t="s">
        <v>717</v>
      </c>
      <c r="J77" s="11" t="s">
        <v>666</v>
      </c>
      <c r="K77" s="11" t="s">
        <v>718</v>
      </c>
      <c r="L77" s="11" t="s">
        <v>719</v>
      </c>
      <c r="M77" s="10" t="str">
        <f aca="false">IF(C77="","",IF(C77&gt;=2021,"Sí","No"))</f>
        <v>Sí</v>
      </c>
      <c r="N77" s="11" t="s">
        <v>720</v>
      </c>
      <c r="O77" s="11" t="s">
        <v>721</v>
      </c>
    </row>
    <row r="78" customFormat="false" ht="57.75" hidden="false" customHeight="true" outlineLevel="0" collapsed="false">
      <c r="A78" s="8" t="n">
        <v>77</v>
      </c>
      <c r="B78" s="9" t="s">
        <v>722</v>
      </c>
      <c r="C78" s="8" t="n">
        <v>2026</v>
      </c>
      <c r="D78" s="9" t="s">
        <v>723</v>
      </c>
      <c r="E78" s="9" t="s">
        <v>576</v>
      </c>
      <c r="F78" s="9" t="s">
        <v>42</v>
      </c>
      <c r="G78" s="9" t="s">
        <v>724</v>
      </c>
      <c r="H78" s="9" t="s">
        <v>74</v>
      </c>
      <c r="I78" s="9" t="s">
        <v>725</v>
      </c>
      <c r="J78" s="9" t="s">
        <v>726</v>
      </c>
      <c r="K78" s="9" t="s">
        <v>727</v>
      </c>
      <c r="L78" s="9" t="s">
        <v>728</v>
      </c>
      <c r="M78" s="8" t="str">
        <f aca="false">IF(C78="","",IF(C78&gt;=2021,"Sí","No"))</f>
        <v>Sí</v>
      </c>
      <c r="N78" s="9" t="s">
        <v>729</v>
      </c>
      <c r="O78" s="9" t="s">
        <v>307</v>
      </c>
    </row>
    <row r="79" customFormat="false" ht="57.75" hidden="false" customHeight="true" outlineLevel="0" collapsed="false">
      <c r="A79" s="10" t="n">
        <v>78</v>
      </c>
      <c r="B79" s="11" t="s">
        <v>730</v>
      </c>
      <c r="C79" s="10" t="n">
        <v>2026</v>
      </c>
      <c r="D79" s="11" t="s">
        <v>731</v>
      </c>
      <c r="E79" s="11" t="s">
        <v>576</v>
      </c>
      <c r="F79" s="11" t="s">
        <v>42</v>
      </c>
      <c r="G79" s="11" t="s">
        <v>732</v>
      </c>
      <c r="H79" s="11" t="s">
        <v>74</v>
      </c>
      <c r="I79" s="11" t="s">
        <v>733</v>
      </c>
      <c r="J79" s="11" t="s">
        <v>734</v>
      </c>
      <c r="K79" s="11" t="s">
        <v>735</v>
      </c>
      <c r="L79" s="11" t="s">
        <v>736</v>
      </c>
      <c r="M79" s="10" t="str">
        <f aca="false">IF(C79="","",IF(C79&gt;=2021,"Sí","No"))</f>
        <v>Sí</v>
      </c>
      <c r="N79" s="11" t="s">
        <v>737</v>
      </c>
      <c r="O79" s="11" t="s">
        <v>738</v>
      </c>
    </row>
    <row r="80" customFormat="false" ht="57.75" hidden="false" customHeight="true" outlineLevel="0" collapsed="false">
      <c r="A80" s="8" t="n">
        <v>79</v>
      </c>
      <c r="B80" s="9" t="s">
        <v>739</v>
      </c>
      <c r="C80" s="8" t="n">
        <v>2026</v>
      </c>
      <c r="D80" s="9" t="s">
        <v>740</v>
      </c>
      <c r="E80" s="9" t="s">
        <v>629</v>
      </c>
      <c r="F80" s="9" t="s">
        <v>42</v>
      </c>
      <c r="G80" s="9" t="s">
        <v>741</v>
      </c>
      <c r="H80" s="9" t="s">
        <v>159</v>
      </c>
      <c r="I80" s="9" t="s">
        <v>742</v>
      </c>
      <c r="J80" s="9" t="s">
        <v>666</v>
      </c>
      <c r="K80" s="9" t="s">
        <v>743</v>
      </c>
      <c r="L80" s="9" t="s">
        <v>744</v>
      </c>
      <c r="M80" s="8" t="str">
        <f aca="false">IF(C80="","",IF(C80&gt;=2021,"Sí","No"))</f>
        <v>Sí</v>
      </c>
      <c r="N80" s="9" t="s">
        <v>745</v>
      </c>
      <c r="O80" s="9" t="s">
        <v>746</v>
      </c>
    </row>
    <row r="81" customFormat="false" ht="57.75" hidden="false" customHeight="true" outlineLevel="0" collapsed="false">
      <c r="A81" s="10" t="n">
        <v>80</v>
      </c>
      <c r="B81" s="11" t="s">
        <v>747</v>
      </c>
      <c r="C81" s="10" t="n">
        <v>2026</v>
      </c>
      <c r="D81" s="11" t="s">
        <v>748</v>
      </c>
      <c r="E81" s="11" t="s">
        <v>41</v>
      </c>
      <c r="F81" s="11" t="s">
        <v>42</v>
      </c>
      <c r="G81" s="11" t="s">
        <v>749</v>
      </c>
      <c r="H81" s="11" t="s">
        <v>84</v>
      </c>
      <c r="I81" s="11" t="s">
        <v>750</v>
      </c>
      <c r="J81" s="11" t="s">
        <v>507</v>
      </c>
      <c r="K81" s="11" t="s">
        <v>751</v>
      </c>
      <c r="L81" s="11" t="s">
        <v>752</v>
      </c>
      <c r="M81" s="10" t="str">
        <f aca="false">IF(C81="","",IF(C81&gt;=2021,"Sí","No"))</f>
        <v>Sí</v>
      </c>
      <c r="N81" s="11" t="s">
        <v>753</v>
      </c>
      <c r="O81" s="11" t="s">
        <v>754</v>
      </c>
    </row>
    <row r="82" customFormat="false" ht="57.75" hidden="false" customHeight="true" outlineLevel="0" collapsed="false">
      <c r="A82" s="8" t="n">
        <v>81</v>
      </c>
      <c r="B82" s="9" t="s">
        <v>755</v>
      </c>
      <c r="C82" s="8" t="n">
        <v>2026</v>
      </c>
      <c r="D82" s="9" t="s">
        <v>756</v>
      </c>
      <c r="E82" s="9" t="s">
        <v>629</v>
      </c>
      <c r="F82" s="9" t="s">
        <v>42</v>
      </c>
      <c r="G82" s="9" t="s">
        <v>757</v>
      </c>
      <c r="H82" s="9" t="s">
        <v>84</v>
      </c>
      <c r="I82" s="9" t="s">
        <v>758</v>
      </c>
      <c r="J82" s="9" t="s">
        <v>759</v>
      </c>
      <c r="K82" s="9" t="s">
        <v>760</v>
      </c>
      <c r="L82" s="9" t="s">
        <v>761</v>
      </c>
      <c r="M82" s="8" t="str">
        <f aca="false">IF(C82="","",IF(C82&gt;=2021,"Sí","No"))</f>
        <v>Sí</v>
      </c>
      <c r="N82" s="9" t="s">
        <v>762</v>
      </c>
      <c r="O82" s="9" t="s">
        <v>763</v>
      </c>
    </row>
    <row r="83" customFormat="false" ht="57.75" hidden="false" customHeight="true" outlineLevel="0" collapsed="false">
      <c r="A83" s="10" t="n">
        <v>82</v>
      </c>
      <c r="B83" s="11" t="s">
        <v>764</v>
      </c>
      <c r="C83" s="10" t="n">
        <v>2022</v>
      </c>
      <c r="D83" s="11" t="s">
        <v>765</v>
      </c>
      <c r="E83" s="11" t="s">
        <v>41</v>
      </c>
      <c r="F83" s="11" t="s">
        <v>42</v>
      </c>
      <c r="G83" s="11" t="s">
        <v>766</v>
      </c>
      <c r="H83" s="11" t="s">
        <v>74</v>
      </c>
      <c r="I83" s="11" t="s">
        <v>767</v>
      </c>
      <c r="J83" s="11" t="s">
        <v>640</v>
      </c>
      <c r="K83" s="11" t="s">
        <v>768</v>
      </c>
      <c r="L83" s="11" t="s">
        <v>769</v>
      </c>
      <c r="M83" s="10" t="str">
        <f aca="false">IF(C83="","",IF(C83&gt;=2021,"Sí","No"))</f>
        <v>Sí</v>
      </c>
      <c r="N83" s="11" t="s">
        <v>770</v>
      </c>
      <c r="O83" s="11" t="s">
        <v>771</v>
      </c>
    </row>
    <row r="84" customFormat="false" ht="57.75" hidden="false" customHeight="true" outlineLevel="0" collapsed="false">
      <c r="A84" s="8" t="n">
        <v>83</v>
      </c>
      <c r="B84" s="9" t="s">
        <v>772</v>
      </c>
      <c r="C84" s="8" t="n">
        <v>2026</v>
      </c>
      <c r="D84" s="9" t="s">
        <v>773</v>
      </c>
      <c r="E84" s="9" t="s">
        <v>103</v>
      </c>
      <c r="F84" s="9" t="s">
        <v>42</v>
      </c>
      <c r="G84" s="9" t="s">
        <v>774</v>
      </c>
      <c r="H84" s="9" t="s">
        <v>84</v>
      </c>
      <c r="I84" s="9" t="s">
        <v>775</v>
      </c>
      <c r="J84" s="9" t="s">
        <v>776</v>
      </c>
      <c r="K84" s="9" t="s">
        <v>777</v>
      </c>
      <c r="L84" s="9" t="s">
        <v>778</v>
      </c>
      <c r="M84" s="8" t="str">
        <f aca="false">IF(C84="","",IF(C84&gt;=2021,"Sí","No"))</f>
        <v>Sí</v>
      </c>
      <c r="N84" s="9" t="s">
        <v>779</v>
      </c>
      <c r="O84" s="9" t="s">
        <v>780</v>
      </c>
    </row>
    <row r="85" customFormat="false" ht="57.75" hidden="false" customHeight="true" outlineLevel="0" collapsed="false">
      <c r="A85" s="10" t="n">
        <v>84</v>
      </c>
      <c r="B85" s="11" t="s">
        <v>781</v>
      </c>
      <c r="C85" s="10" t="n">
        <v>2026</v>
      </c>
      <c r="D85" s="11" t="s">
        <v>782</v>
      </c>
      <c r="E85" s="11" t="s">
        <v>41</v>
      </c>
      <c r="F85" s="11" t="s">
        <v>42</v>
      </c>
      <c r="G85" s="11" t="s">
        <v>783</v>
      </c>
      <c r="H85" s="11" t="s">
        <v>84</v>
      </c>
      <c r="I85" s="11" t="s">
        <v>784</v>
      </c>
      <c r="J85" s="11" t="s">
        <v>785</v>
      </c>
      <c r="K85" s="11" t="s">
        <v>786</v>
      </c>
      <c r="L85" s="11" t="s">
        <v>787</v>
      </c>
      <c r="M85" s="10" t="str">
        <f aca="false">IF(C85="","",IF(C85&gt;=2021,"Sí","No"))</f>
        <v>Sí</v>
      </c>
      <c r="N85" s="11" t="s">
        <v>788</v>
      </c>
      <c r="O85" s="11" t="s">
        <v>789</v>
      </c>
    </row>
    <row r="86" customFormat="false" ht="57.75" hidden="false" customHeight="true" outlineLevel="0" collapsed="false">
      <c r="A86" s="8" t="n">
        <v>85</v>
      </c>
      <c r="B86" s="9" t="s">
        <v>790</v>
      </c>
      <c r="C86" s="8" t="n">
        <v>2026</v>
      </c>
      <c r="D86" s="9" t="s">
        <v>791</v>
      </c>
      <c r="E86" s="9" t="s">
        <v>41</v>
      </c>
      <c r="F86" s="9" t="s">
        <v>42</v>
      </c>
      <c r="G86" s="9" t="s">
        <v>792</v>
      </c>
      <c r="H86" s="9" t="s">
        <v>84</v>
      </c>
      <c r="I86" s="9" t="s">
        <v>793</v>
      </c>
      <c r="J86" s="9" t="s">
        <v>640</v>
      </c>
      <c r="K86" s="9" t="s">
        <v>794</v>
      </c>
      <c r="L86" s="9" t="s">
        <v>795</v>
      </c>
      <c r="M86" s="8" t="str">
        <f aca="false">IF(C86="","",IF(C86&gt;=2021,"Sí","No"))</f>
        <v>Sí</v>
      </c>
      <c r="N86" s="9" t="s">
        <v>796</v>
      </c>
      <c r="O86" s="9" t="s">
        <v>797</v>
      </c>
    </row>
    <row r="87" customFormat="false" ht="57.75" hidden="false" customHeight="true" outlineLevel="0" collapsed="false">
      <c r="A87" s="10" t="n">
        <v>86</v>
      </c>
      <c r="B87" s="11" t="s">
        <v>798</v>
      </c>
      <c r="C87" s="10" t="n">
        <v>2026</v>
      </c>
      <c r="D87" s="11" t="s">
        <v>799</v>
      </c>
      <c r="E87" s="11" t="s">
        <v>41</v>
      </c>
      <c r="F87" s="11" t="s">
        <v>42</v>
      </c>
      <c r="G87" s="11" t="s">
        <v>800</v>
      </c>
      <c r="H87" s="11" t="s">
        <v>84</v>
      </c>
      <c r="I87" s="11" t="s">
        <v>801</v>
      </c>
      <c r="J87" s="11" t="s">
        <v>640</v>
      </c>
      <c r="K87" s="11" t="s">
        <v>802</v>
      </c>
      <c r="L87" s="11" t="s">
        <v>702</v>
      </c>
      <c r="M87" s="10" t="str">
        <f aca="false">IF(C87="","",IF(C87&gt;=2021,"Sí","No"))</f>
        <v>Sí</v>
      </c>
      <c r="N87" s="11" t="s">
        <v>803</v>
      </c>
      <c r="O87" s="11" t="s">
        <v>804</v>
      </c>
    </row>
    <row r="88" customFormat="false" ht="39.75" hidden="false" customHeight="true" outlineLevel="0" collapsed="false">
      <c r="A88" s="12" t="n">
        <v>87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2" t="str">
        <f aca="false">IF(C88="","",IF(C88&gt;=2021,"Sí","No"))</f>
        <v/>
      </c>
      <c r="N88" s="13"/>
      <c r="O88" s="13"/>
    </row>
    <row r="89" customFormat="false" ht="39.75" hidden="false" customHeight="true" outlineLevel="0" collapsed="false">
      <c r="A89" s="12" t="n">
        <v>88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2" t="str">
        <f aca="false">IF(C89="","",IF(C89&gt;=2021,"Sí","No"))</f>
        <v/>
      </c>
      <c r="N89" s="13"/>
      <c r="O89" s="13"/>
    </row>
    <row r="90" customFormat="false" ht="39.75" hidden="false" customHeight="true" outlineLevel="0" collapsed="false">
      <c r="A90" s="12" t="n">
        <v>89</v>
      </c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2" t="str">
        <f aca="false">IF(C90="","",IF(C90&gt;=2021,"Sí","No"))</f>
        <v/>
      </c>
      <c r="N90" s="13"/>
      <c r="O90" s="13"/>
    </row>
    <row r="91" customFormat="false" ht="39.75" hidden="false" customHeight="true" outlineLevel="0" collapsed="false">
      <c r="A91" s="12" t="n">
        <v>90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2" t="str">
        <f aca="false">IF(C91="","",IF(C91&gt;=2021,"Sí","No"))</f>
        <v/>
      </c>
      <c r="N91" s="13"/>
      <c r="O91" s="13"/>
    </row>
    <row r="92" customFormat="false" ht="39.75" hidden="false" customHeight="true" outlineLevel="0" collapsed="false">
      <c r="A92" s="12" t="n">
        <v>91</v>
      </c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2" t="str">
        <f aca="false">IF(C92="","",IF(C92&gt;=2021,"Sí","No"))</f>
        <v/>
      </c>
      <c r="N92" s="13"/>
      <c r="O92" s="13"/>
    </row>
  </sheetData>
  <autoFilter ref="A1:O9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805</v>
      </c>
    </row>
    <row r="4" customFormat="false" ht="15" hidden="false" customHeight="false" outlineLevel="0" collapsed="false">
      <c r="B4" s="14" t="s">
        <v>806</v>
      </c>
      <c r="C4" s="15" t="n">
        <f aca="false">COUNT('Matriz de artículos'!$C$2:$C$92)</f>
        <v>86</v>
      </c>
    </row>
    <row r="5" customFormat="false" ht="15" hidden="false" customHeight="false" outlineLevel="0" collapsed="false">
      <c r="B5" s="14" t="s">
        <v>807</v>
      </c>
      <c r="C5" s="15" t="n">
        <f aca="false">COUNTIF('Matriz de artículos'!$M$2:$M$92,"Sí")</f>
        <v>63</v>
      </c>
    </row>
    <row r="6" customFormat="false" ht="15" hidden="false" customHeight="false" outlineLevel="0" collapsed="false">
      <c r="B6" s="14" t="s">
        <v>808</v>
      </c>
      <c r="C6" s="16" t="n">
        <f aca="false">IF(C4=0,0,C5/C4)</f>
        <v>0.732558139534884</v>
      </c>
    </row>
    <row r="7" customFormat="false" ht="15" hidden="false" customHeight="false" outlineLevel="0" collapsed="false">
      <c r="B7" s="17" t="s">
        <v>809</v>
      </c>
      <c r="C7" s="15" t="str">
        <f aca="false">IF(C4&gt;=50,"✔ Cumple","✘ Faltan "&amp;(50-C4))</f>
        <v>✔ Cumple</v>
      </c>
    </row>
    <row r="8" customFormat="false" ht="15" hidden="false" customHeight="false" outlineLevel="0" collapsed="false">
      <c r="B8" s="17" t="s">
        <v>810</v>
      </c>
      <c r="C8" s="15" t="str">
        <f aca="false">IF(C6&gt;=0.6,"✔ Cumple","✘ Aún no")</f>
        <v>✔ Cumple</v>
      </c>
    </row>
    <row r="11" customFormat="false" ht="15" hidden="false" customHeight="true" outlineLevel="0" collapsed="false">
      <c r="B11" s="18" t="s">
        <v>811</v>
      </c>
      <c r="C11" s="18"/>
    </row>
    <row r="12" customFormat="false" ht="15" hidden="false" customHeight="false" outlineLevel="0" collapsed="false">
      <c r="B12" s="18"/>
      <c r="C12" s="18"/>
    </row>
    <row r="13" customFormat="false" ht="15" hidden="false" customHeight="false" outlineLevel="0" collapsed="false">
      <c r="B13" s="18"/>
      <c r="C13" s="18"/>
    </row>
  </sheetData>
  <mergeCells count="1">
    <mergeCell ref="B11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46"/>
    <col collapsed="false" customWidth="true" hidden="false" outlineLevel="0" max="5" min="5" style="0" width="13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34"/>
  </cols>
  <sheetData>
    <row r="1" customFormat="false" ht="17.35" hidden="false" customHeight="false" outlineLevel="0" collapsed="false">
      <c r="A1" s="1" t="s">
        <v>812</v>
      </c>
    </row>
    <row r="2" customFormat="false" ht="15" hidden="false" customHeight="true" outlineLevel="0" collapsed="false">
      <c r="A2" s="18" t="s">
        <v>813</v>
      </c>
      <c r="B2" s="18"/>
      <c r="C2" s="18"/>
      <c r="D2" s="18"/>
      <c r="E2" s="18"/>
      <c r="F2" s="18"/>
      <c r="G2" s="18"/>
      <c r="H2" s="18"/>
      <c r="I2" s="18"/>
    </row>
    <row r="4" customFormat="false" ht="30" hidden="false" customHeight="true" outlineLevel="0" collapsed="false">
      <c r="A4" s="7" t="s">
        <v>24</v>
      </c>
      <c r="B4" s="7" t="s">
        <v>25</v>
      </c>
      <c r="C4" s="7" t="s">
        <v>26</v>
      </c>
      <c r="D4" s="7" t="s">
        <v>27</v>
      </c>
      <c r="E4" s="7" t="s">
        <v>29</v>
      </c>
      <c r="F4" s="7" t="s">
        <v>814</v>
      </c>
      <c r="G4" s="7" t="s">
        <v>815</v>
      </c>
      <c r="H4" s="7" t="s">
        <v>38</v>
      </c>
      <c r="I4" s="7" t="s">
        <v>816</v>
      </c>
    </row>
    <row r="5" customFormat="false" ht="42" hidden="false" customHeight="true" outlineLevel="0" collapsed="false">
      <c r="A5" s="19" t="n">
        <v>1</v>
      </c>
      <c r="B5" s="20" t="s">
        <v>817</v>
      </c>
      <c r="C5" s="19" t="n">
        <v>2026</v>
      </c>
      <c r="D5" s="20" t="s">
        <v>818</v>
      </c>
      <c r="E5" s="20" t="s">
        <v>819</v>
      </c>
      <c r="F5" s="20" t="s">
        <v>820</v>
      </c>
      <c r="G5" s="19" t="s">
        <v>821</v>
      </c>
      <c r="H5" s="20" t="s">
        <v>822</v>
      </c>
      <c r="I5" s="20" t="s">
        <v>823</v>
      </c>
    </row>
    <row r="6" customFormat="false" ht="42" hidden="false" customHeight="true" outlineLevel="0" collapsed="false">
      <c r="A6" s="19" t="n">
        <v>2</v>
      </c>
      <c r="B6" s="20" t="s">
        <v>824</v>
      </c>
      <c r="C6" s="19" t="n">
        <v>2026</v>
      </c>
      <c r="D6" s="20" t="s">
        <v>825</v>
      </c>
      <c r="E6" s="20" t="s">
        <v>819</v>
      </c>
      <c r="F6" s="20" t="s">
        <v>820</v>
      </c>
      <c r="G6" s="19" t="s">
        <v>826</v>
      </c>
      <c r="H6" s="20" t="s">
        <v>827</v>
      </c>
      <c r="I6" s="20" t="s">
        <v>828</v>
      </c>
    </row>
    <row r="7" customFormat="false" ht="42" hidden="false" customHeight="true" outlineLevel="0" collapsed="false">
      <c r="A7" s="19" t="n">
        <v>3</v>
      </c>
      <c r="B7" s="20" t="s">
        <v>829</v>
      </c>
      <c r="C7" s="19" t="n">
        <v>2026</v>
      </c>
      <c r="D7" s="20" t="s">
        <v>830</v>
      </c>
      <c r="E7" s="20" t="s">
        <v>819</v>
      </c>
      <c r="F7" s="20" t="s">
        <v>831</v>
      </c>
      <c r="G7" s="19" t="s">
        <v>832</v>
      </c>
      <c r="H7" s="20" t="s">
        <v>833</v>
      </c>
      <c r="I7" s="20" t="s">
        <v>834</v>
      </c>
    </row>
    <row r="8" customFormat="false" ht="42" hidden="false" customHeight="true" outlineLevel="0" collapsed="false">
      <c r="A8" s="19" t="n">
        <v>4</v>
      </c>
      <c r="B8" s="20" t="s">
        <v>835</v>
      </c>
      <c r="C8" s="19" t="n">
        <v>2026</v>
      </c>
      <c r="D8" s="20" t="s">
        <v>836</v>
      </c>
      <c r="E8" s="20" t="s">
        <v>819</v>
      </c>
      <c r="F8" s="20" t="s">
        <v>831</v>
      </c>
      <c r="G8" s="19" t="s">
        <v>832</v>
      </c>
      <c r="H8" s="20" t="s">
        <v>837</v>
      </c>
      <c r="I8" s="20" t="s">
        <v>838</v>
      </c>
    </row>
    <row r="9" customFormat="false" ht="42" hidden="false" customHeight="true" outlineLevel="0" collapsed="false">
      <c r="A9" s="19" t="n">
        <v>5</v>
      </c>
      <c r="B9" s="20" t="s">
        <v>839</v>
      </c>
      <c r="C9" s="19" t="n">
        <v>2026</v>
      </c>
      <c r="D9" s="20" t="s">
        <v>840</v>
      </c>
      <c r="E9" s="20" t="s">
        <v>819</v>
      </c>
      <c r="F9" s="20" t="s">
        <v>831</v>
      </c>
      <c r="G9" s="19" t="s">
        <v>832</v>
      </c>
      <c r="H9" s="20" t="s">
        <v>841</v>
      </c>
      <c r="I9" s="20" t="s">
        <v>842</v>
      </c>
    </row>
    <row r="10" customFormat="false" ht="42" hidden="false" customHeight="true" outlineLevel="0" collapsed="false">
      <c r="A10" s="19" t="n">
        <v>6</v>
      </c>
      <c r="B10" s="20" t="s">
        <v>843</v>
      </c>
      <c r="C10" s="19" t="n">
        <v>2026</v>
      </c>
      <c r="D10" s="20" t="s">
        <v>844</v>
      </c>
      <c r="E10" s="20" t="s">
        <v>819</v>
      </c>
      <c r="F10" s="20" t="s">
        <v>831</v>
      </c>
      <c r="G10" s="19" t="s">
        <v>832</v>
      </c>
      <c r="H10" s="20" t="s">
        <v>845</v>
      </c>
      <c r="I10" s="20" t="s">
        <v>846</v>
      </c>
    </row>
    <row r="11" customFormat="false" ht="42" hidden="false" customHeight="true" outlineLevel="0" collapsed="false">
      <c r="A11" s="19" t="n">
        <v>7</v>
      </c>
      <c r="B11" s="20" t="s">
        <v>847</v>
      </c>
      <c r="C11" s="19" t="n">
        <v>2026</v>
      </c>
      <c r="D11" s="20" t="s">
        <v>848</v>
      </c>
      <c r="E11" s="20" t="s">
        <v>819</v>
      </c>
      <c r="F11" s="20" t="s">
        <v>831</v>
      </c>
      <c r="G11" s="19" t="s">
        <v>832</v>
      </c>
      <c r="H11" s="20" t="s">
        <v>849</v>
      </c>
      <c r="I11" s="20" t="s">
        <v>850</v>
      </c>
    </row>
    <row r="12" customFormat="false" ht="42" hidden="false" customHeight="true" outlineLevel="0" collapsed="false">
      <c r="A12" s="19" t="n">
        <v>8</v>
      </c>
      <c r="B12" s="20" t="s">
        <v>851</v>
      </c>
      <c r="C12" s="19" t="n">
        <v>2026</v>
      </c>
      <c r="D12" s="20" t="s">
        <v>852</v>
      </c>
      <c r="E12" s="20" t="s">
        <v>819</v>
      </c>
      <c r="F12" s="20" t="s">
        <v>831</v>
      </c>
      <c r="G12" s="19" t="s">
        <v>832</v>
      </c>
      <c r="H12" s="20" t="s">
        <v>853</v>
      </c>
      <c r="I12" s="20" t="s">
        <v>854</v>
      </c>
    </row>
    <row r="13" customFormat="false" ht="42" hidden="false" customHeight="true" outlineLevel="0" collapsed="false">
      <c r="A13" s="19" t="n">
        <v>9</v>
      </c>
      <c r="B13" s="20" t="s">
        <v>855</v>
      </c>
      <c r="C13" s="19" t="n">
        <v>2026</v>
      </c>
      <c r="D13" s="20" t="s">
        <v>856</v>
      </c>
      <c r="E13" s="20" t="s">
        <v>819</v>
      </c>
      <c r="F13" s="20" t="s">
        <v>831</v>
      </c>
      <c r="G13" s="19" t="s">
        <v>832</v>
      </c>
      <c r="H13" s="20" t="s">
        <v>857</v>
      </c>
      <c r="I13" s="20" t="s">
        <v>858</v>
      </c>
    </row>
    <row r="14" customFormat="false" ht="42" hidden="false" customHeight="true" outlineLevel="0" collapsed="false">
      <c r="A14" s="19" t="n">
        <v>10</v>
      </c>
      <c r="B14" s="20" t="s">
        <v>859</v>
      </c>
      <c r="C14" s="19" t="n">
        <v>2026</v>
      </c>
      <c r="D14" s="20" t="s">
        <v>860</v>
      </c>
      <c r="E14" s="20" t="s">
        <v>819</v>
      </c>
      <c r="F14" s="20" t="s">
        <v>831</v>
      </c>
      <c r="G14" s="19" t="s">
        <v>832</v>
      </c>
      <c r="H14" s="20" t="s">
        <v>861</v>
      </c>
      <c r="I14" s="20" t="s">
        <v>846</v>
      </c>
    </row>
    <row r="15" customFormat="false" ht="42" hidden="false" customHeight="true" outlineLevel="0" collapsed="false">
      <c r="A15" s="19" t="n">
        <v>11</v>
      </c>
      <c r="B15" s="20" t="s">
        <v>862</v>
      </c>
      <c r="C15" s="19" t="n">
        <v>2026</v>
      </c>
      <c r="D15" s="20" t="s">
        <v>863</v>
      </c>
      <c r="E15" s="20" t="s">
        <v>819</v>
      </c>
      <c r="F15" s="20" t="s">
        <v>831</v>
      </c>
      <c r="G15" s="19" t="s">
        <v>832</v>
      </c>
      <c r="H15" s="20" t="s">
        <v>864</v>
      </c>
      <c r="I15" s="20" t="s">
        <v>865</v>
      </c>
    </row>
    <row r="16" customFormat="false" ht="42" hidden="false" customHeight="true" outlineLevel="0" collapsed="false">
      <c r="A16" s="19" t="n">
        <v>12</v>
      </c>
      <c r="B16" s="20" t="s">
        <v>866</v>
      </c>
      <c r="C16" s="19" t="n">
        <v>2026</v>
      </c>
      <c r="D16" s="20" t="s">
        <v>867</v>
      </c>
      <c r="E16" s="20" t="s">
        <v>819</v>
      </c>
      <c r="F16" s="20" t="s">
        <v>831</v>
      </c>
      <c r="G16" s="19" t="s">
        <v>832</v>
      </c>
      <c r="H16" s="20" t="s">
        <v>868</v>
      </c>
      <c r="I16" s="20" t="s">
        <v>869</v>
      </c>
    </row>
    <row r="17" customFormat="false" ht="42" hidden="false" customHeight="true" outlineLevel="0" collapsed="false">
      <c r="A17" s="19" t="n">
        <v>13</v>
      </c>
      <c r="B17" s="20" t="s">
        <v>870</v>
      </c>
      <c r="C17" s="19" t="n">
        <v>2026</v>
      </c>
      <c r="D17" s="20" t="s">
        <v>871</v>
      </c>
      <c r="E17" s="20" t="s">
        <v>819</v>
      </c>
      <c r="F17" s="20" t="s">
        <v>831</v>
      </c>
      <c r="G17" s="19" t="s">
        <v>832</v>
      </c>
      <c r="H17" s="20" t="s">
        <v>872</v>
      </c>
      <c r="I17" s="20" t="s">
        <v>873</v>
      </c>
    </row>
    <row r="18" customFormat="false" ht="42" hidden="false" customHeight="true" outlineLevel="0" collapsed="false">
      <c r="A18" s="19" t="n">
        <v>14</v>
      </c>
      <c r="B18" s="20" t="s">
        <v>874</v>
      </c>
      <c r="C18" s="19" t="n">
        <v>2026</v>
      </c>
      <c r="D18" s="20" t="s">
        <v>875</v>
      </c>
      <c r="E18" s="20" t="s">
        <v>819</v>
      </c>
      <c r="F18" s="20" t="s">
        <v>831</v>
      </c>
      <c r="G18" s="19" t="s">
        <v>832</v>
      </c>
      <c r="H18" s="20" t="s">
        <v>876</v>
      </c>
      <c r="I18" s="20" t="s">
        <v>869</v>
      </c>
    </row>
    <row r="19" customFormat="false" ht="42" hidden="false" customHeight="true" outlineLevel="0" collapsed="false">
      <c r="A19" s="19" t="n">
        <v>15</v>
      </c>
      <c r="B19" s="20" t="s">
        <v>877</v>
      </c>
      <c r="C19" s="19" t="n">
        <v>2026</v>
      </c>
      <c r="D19" s="20" t="s">
        <v>878</v>
      </c>
      <c r="E19" s="20" t="s">
        <v>819</v>
      </c>
      <c r="F19" s="20" t="s">
        <v>831</v>
      </c>
      <c r="G19" s="19" t="s">
        <v>832</v>
      </c>
      <c r="H19" s="20" t="s">
        <v>879</v>
      </c>
      <c r="I19" s="20" t="s">
        <v>838</v>
      </c>
    </row>
  </sheetData>
  <autoFilter ref="A4:I19"/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2026-10-17T23:33:18Z</dcterms:created>
  <dc:creator>openpyxl</dc:creator>
  <dc:description/>
  <dc:language>en-US</dc:language>
  <cp:lastModifiedBy/>
  <dcterms:modified xsi:type="dcterms:W3CDTF">2026-10-17T23:33:18Z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